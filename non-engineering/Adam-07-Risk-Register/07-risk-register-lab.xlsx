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Heat Map" sheetId="2" r:id="rId6"/>
    <sheet state="visible" name="Risk Register" sheetId="3" r:id="rId7"/>
    <sheet state="visible" name="Summary" sheetId="4" r:id="rId8"/>
  </sheets>
  <definedNames/>
  <calcPr/>
</workbook>
</file>

<file path=xl/sharedStrings.xml><?xml version="1.0" encoding="utf-8"?>
<sst xmlns="http://schemas.openxmlformats.org/spreadsheetml/2006/main" count="166" uniqueCount="141">
  <si>
    <t>340 Collective Risk Register: Guide</t>
  </si>
  <si>
    <t>Project 07 lab (spreadsheet version). Fill in the yellow cells on the Risk Register tab; everything else calculates automatically.</t>
  </si>
  <si>
    <t>How to use</t>
  </si>
  <si>
    <t>Yellow cells</t>
  </si>
  <si>
    <t>Your inputs: category, description, likelihood, impact, mitigation, owner, residual likelihood and impact, review date.</t>
  </si>
  <si>
    <t>White cells</t>
  </si>
  <si>
    <t>Formulas. Don't type in them: Risk Score, Rating, Residual Risk, Residual Rating, and the Heat Map and Summary tabs fill in by themselves.</t>
  </si>
  <si>
    <t>Row R-01</t>
  </si>
  <si>
    <t>An example row showing the expected format. Keep it, edit it, or replace it with your own risk.</t>
  </si>
  <si>
    <t>Likelihood (1 to 5)</t>
  </si>
  <si>
    <t>1 Rare</t>
  </si>
  <si>
    <t>Very unlikely; could happen only in unusual situations.</t>
  </si>
  <si>
    <t>2 Unlikely</t>
  </si>
  <si>
    <t>Could happen, but not expected within a year.</t>
  </si>
  <si>
    <t>3 Possible</t>
  </si>
  <si>
    <t>Might happen within a year.</t>
  </si>
  <si>
    <t>4 Likely</t>
  </si>
  <si>
    <t>Will probably happen within a year.</t>
  </si>
  <si>
    <t>5 Almost certain</t>
  </si>
  <si>
    <t>Expected to happen, or already happening.</t>
  </si>
  <si>
    <t>Impact (1 to 5)</t>
  </si>
  <si>
    <t>1 Minimal</t>
  </si>
  <si>
    <t>Little effect; fixed quickly at almost no cost.</t>
  </si>
  <si>
    <t>2 Minor</t>
  </si>
  <si>
    <t>Small disruption or cost; clients barely notice.</t>
  </si>
  <si>
    <t>3 Moderate</t>
  </si>
  <si>
    <t>Noticeable disruption, some lost revenue, or a few unhappy clients.</t>
  </si>
  <si>
    <t>4 Major</t>
  </si>
  <si>
    <t>Serious outage, data loss, payment fraud, or reputation damage.</t>
  </si>
  <si>
    <t>5 Severe</t>
  </si>
  <si>
    <t>Business-threatening: major breach, account takeover, or legal trouble.</t>
  </si>
  <si>
    <t>Rating thresholds</t>
  </si>
  <si>
    <t>High</t>
  </si>
  <si>
    <t>Score 15 to 25: act now, report to leadership.</t>
  </si>
  <si>
    <t>Medium</t>
  </si>
  <si>
    <t>Score 8 to 14: plan a fix and review regularly.</t>
  </si>
  <si>
    <t>Low</t>
  </si>
  <si>
    <t>Score 1 to 7: monitor, or accept.</t>
  </si>
  <si>
    <t>Note</t>
  </si>
  <si>
    <t>Thresholds are a common starting point, not a standard. Agree final thresholds with the ISSM.</t>
  </si>
  <si>
    <t>Lab steps</t>
  </si>
  <si>
    <t>1</t>
  </si>
  <si>
    <t>Fill in the register columns for each risk.</t>
  </si>
  <si>
    <t>2</t>
  </si>
  <si>
    <t>Identify at least 12 risks across security, vendor, and business categories.</t>
  </si>
  <si>
    <t>3</t>
  </si>
  <si>
    <t>Risk Score = Likelihood x Impact (automatic, color-coded High / Medium / Low).</t>
  </si>
  <si>
    <t>4</t>
  </si>
  <si>
    <t>Write a mitigation and owner for each risk, then re-score for Residual Risk.</t>
  </si>
  <si>
    <t>5</t>
  </si>
  <si>
    <t>Check the 5x5 Heat Map tab (automatic).</t>
  </si>
  <si>
    <t>6</t>
  </si>
  <si>
    <t>Write the half-page risk summary on the Summary tab.</t>
  </si>
  <si>
    <t>Risk ideas from the lab</t>
  </si>
  <si>
    <t>Compromised AWS credentials; Stripe payment link misuse; domain registrar lapse; loss of client files; single-person dependency.</t>
  </si>
  <si>
    <t>Owners</t>
  </si>
  <si>
    <t>Use roles, not personal names or emails (governance rule), e.g. ISSM, ISSE, Business Owner, Account Admin.</t>
  </si>
  <si>
    <t>5x5 Risk Heat Map</t>
  </si>
  <si>
    <t>Risk IDs appear automatically in the cell matching their likelihood and impact.</t>
  </si>
  <si>
    <t>Inherent risk (before mitigation)</t>
  </si>
  <si>
    <t>Legend</t>
  </si>
  <si>
    <t>High (15-25)</t>
  </si>
  <si>
    <t>Likelihood ↑</t>
  </si>
  <si>
    <t>Medium (8-14)</t>
  </si>
  <si>
    <t>Low (1-7)</t>
  </si>
  <si>
    <t>Impact →</t>
  </si>
  <si>
    <t>Residual risk (after mitigation)</t>
  </si>
  <si>
    <t>340 Collective Risk Register</t>
  </si>
  <si>
    <t>Yellow = your input. White = automatic. Scores: Likelihood x Impact (1 to 25).</t>
  </si>
  <si>
    <t>Helper columns (don't edit)</t>
  </si>
  <si>
    <t>Risk ID</t>
  </si>
  <si>
    <t>Category</t>
  </si>
  <si>
    <t>Description</t>
  </si>
  <si>
    <t>Likelihood (1-5)</t>
  </si>
  <si>
    <t>Impact (1-5)</t>
  </si>
  <si>
    <t>Risk Score</t>
  </si>
  <si>
    <t>Rating</t>
  </si>
  <si>
    <t>Mitigation</t>
  </si>
  <si>
    <t>Owner</t>
  </si>
  <si>
    <t>Residual Likelihood (1-5)</t>
  </si>
  <si>
    <t>Residual Impact (1-5)</t>
  </si>
  <si>
    <t>Residual Risk</t>
  </si>
  <si>
    <t>Residual Rating</t>
  </si>
  <si>
    <t>Review Date</t>
  </si>
  <si>
    <t>Heat key</t>
  </si>
  <si>
    <t>Residual heat key</t>
  </si>
  <si>
    <t>Rank helper</t>
  </si>
  <si>
    <t>R-01</t>
  </si>
  <si>
    <t>Security</t>
  </si>
  <si>
    <t>AWS root or admin credentials compromised (no MFA, leaked access keys), giving an attacker full control of the account.</t>
  </si>
  <si>
    <t>Enforce MFA on root and all IAM users; delete root access keys; use least-privilege IAM roles; alert on root sign-in.</t>
  </si>
  <si>
    <t>Account Admin (ISSM)</t>
  </si>
  <si>
    <t>R-02</t>
  </si>
  <si>
    <t>Vendor</t>
  </si>
  <si>
    <t>Stripe payment links are leaked or misused (card testing, fake links sent to clients), causing chargebacks, fees, and possible Stripe account suspension.</t>
  </si>
  <si>
    <t>Keep Stripe Radar fraud screening on; enforce MFA on the Stripe dashboard; validate webhook signatures and charged amounts against the catalog; store the Stripe secret key in AWS SSM Parameter Store (not in code); deactivate only genuinely one-off links after use; tell clients how legitimate payment links are shared.</t>
  </si>
  <si>
    <t>Business Owner</t>
  </si>
  <si>
    <t>R-03</t>
  </si>
  <si>
    <t>The 340collective.com domain expires because a renewal is missed (auto-renew off or an expired card), taking the website and email offline; someone else could buy the domain.</t>
  </si>
  <si>
    <t>Turn on auto-renew; renew for several years; keep a backup payment card; enable registrar lock and MFA on the registrar account; set a calendar reminder 60 days before expiry.</t>
  </si>
  <si>
    <t>R-04</t>
  </si>
  <si>
    <t>Business</t>
  </si>
  <si>
    <t>Client photos and videos are lost (accidental deletion, ransomware, drive or account failure) with no working backup, so finished or in-progress client work can't be recovered.</t>
  </si>
  <si>
    <t>Keep automatic backups with versioning; store a second copy offsite (3-2-1 rule); limit who can delete files; test restoring a file every quarter.</t>
  </si>
  <si>
    <t>R-05</t>
  </si>
  <si>
    <t>A phishing email tricks a team member into giving up their email or AWS login</t>
  </si>
  <si>
    <t>MFA on every account; password manager; short phishing training; report-suspicious-email process.</t>
  </si>
  <si>
    <t>R-06</t>
  </si>
  <si>
    <t>The GitHub account is compromised and an attacker changes the website or infrastructure code.</t>
  </si>
  <si>
    <t>MFA on GitHub; branch protection with required PR approval; few admins; remove unused connected apps.</t>
  </si>
  <si>
    <t>ISSM</t>
  </si>
  <si>
    <t>R-07</t>
  </si>
  <si>
    <t>An AWS outage takes the website, lead forms, or payments offline.</t>
  </si>
  <si>
    <t>CloudFront caching; infrastructure in CloudFormation so it can be redeployed; documented recovery steps.</t>
  </si>
  <si>
    <t>ISSE</t>
  </si>
  <si>
    <t>R-08</t>
  </si>
  <si>
    <t>Only one person knows how the platform works or holds admin access.</t>
  </si>
  <si>
    <t>Written runbooks; a second trusted admin with emergency access; shared password vault; cross-training.</t>
  </si>
  <si>
    <t>R-09</t>
  </si>
  <si>
    <t>The AI blog publishes wrong, harmful, or copied content, damaging reputation.</t>
  </si>
  <si>
    <t>Human review before publishing; content guidelines; fact-checking; disclose AI use.</t>
  </si>
  <si>
    <t>R-10</t>
  </si>
  <si>
    <t>AWS costs exceed budget (a forgotten service, abuse, or free tier expiring).</t>
  </si>
  <si>
    <t>AWS Budgets alerts at $1, $5, $10; tear down after evidence; check quotas first.</t>
  </si>
  <si>
    <t>R-11</t>
  </si>
  <si>
    <t>A third-party tool (Jira, newsletter, Stripe) is breached and exposes client data.</t>
  </si>
  <si>
    <t>Collect minimum client data; MFA on vendor accounts; check vendor security reports; remove unused tools.</t>
  </si>
  <si>
    <t>R-12</t>
  </si>
  <si>
    <t>Bots abuse the website lead form with spam or malicious input.</t>
  </si>
  <si>
    <t>API Gateway throttling (free); input validation; alert on unusual volume.</t>
  </si>
  <si>
    <t>R-13</t>
  </si>
  <si>
    <t>R-14</t>
  </si>
  <si>
    <t>R-15</t>
  </si>
  <si>
    <t>Risk Summary: Top 5 Risks</t>
  </si>
  <si>
    <t>The table fills in automatically (highest inherent score first). Write your half-page summary in the yellow box.</t>
  </si>
  <si>
    <t>Rank</t>
  </si>
  <si>
    <t>Score</t>
  </si>
  <si>
    <t>Residual</t>
  </si>
  <si>
    <t>Half-page summary</t>
  </si>
  <si>
    <t>Prompts: What are the top 5 risks and why do they matter to 340 Collective? Who owns each? What is being done (mitigation) and how much does it lower the risk? When is the next review? What decision or support do you need from leadership?</t>
  </si>
  <si>
    <t>This register identifies 12 risks across security, vendor, and business categories. Before mitigation, four risks scored High. The top five are: compromised AWS root or admin credentials (R-01, score 20), Stripe payment link misuse (R-02, 16), phishing that steals a team login (R-05, 16), dependence on a single person for platform knowledge and admin access (R-08, 16), and loss of client files without a working backup (R-04, 12). These matter because each could stop payments, expose the AWS account, or lose client work, which would directly hurt revenue and reputation for a small media studio.
The Business Owner owns four of the top five risks; the ISSM owns R-01. Key mitigations are MFA on all accounts, removing root access keys and using least-privilege IAM roles, one-time Stripe invoices with fraud screening, documented runbooks with a second trusted admin, and tested 3-2-1 backups. After mitigation, every risk drops to Low except R-01, which remains Medium (residual 10) because the impact of a full account takeover stays severe. R-01 should stay a leadership priority. The next review is 2026-11-12 (R-02), with R-01 reviewed by 2026-11-15 and the remaining High-rated risks by 2026-12-12.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</si>
</sst>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4">
    <font>
      <sz val="11.0"/>
      <color theme="1"/>
      <name val="Calibri"/>
      <scheme val="minor"/>
    </font>
    <font>
      <b/>
      <sz val="16.0"/>
      <color theme="1"/>
      <name val="Arial"/>
    </font>
    <font>
      <i/>
      <sz val="10.0"/>
      <color theme="1"/>
      <name val="Arial"/>
    </font>
    <font>
      <b/>
      <sz val="12.0"/>
      <color rgb="FF1F3864"/>
      <name val="Arial"/>
    </font>
    <font>
      <b/>
      <sz val="10.0"/>
      <color theme="1"/>
      <name val="Arial"/>
    </font>
    <font>
      <sz val="10.0"/>
      <color theme="1"/>
      <name val="Arial"/>
    </font>
    <font>
      <b/>
      <sz val="11.0"/>
      <color theme="1"/>
      <name val="Arial"/>
    </font>
    <font>
      <i/>
      <sz val="9.0"/>
      <color theme="1"/>
      <name val="Arial"/>
    </font>
    <font>
      <i/>
      <sz val="8.0"/>
      <color rgb="FF808080"/>
      <name val="Arial"/>
    </font>
    <font>
      <b/>
      <sz val="10.0"/>
      <color rgb="FFFFFFFF"/>
      <name val="Arial"/>
    </font>
    <font>
      <sz val="8.0"/>
      <color rgb="FF808080"/>
      <name val="Arial"/>
    </font>
    <font>
      <color theme="1"/>
      <name val="Calibri"/>
      <scheme val="minor"/>
    </font>
    <font>
      <sz val="11.0"/>
      <color theme="1"/>
      <name val="Arial"/>
    </font>
    <font/>
  </fonts>
  <fills count="7">
    <fill>
      <patternFill patternType="none"/>
    </fill>
    <fill>
      <patternFill patternType="lightGray"/>
    </fill>
    <fill>
      <patternFill patternType="solid">
        <fgColor rgb="FFFFF2CC"/>
        <bgColor rgb="FFFFF2CC"/>
      </patternFill>
    </fill>
    <fill>
      <patternFill patternType="solid">
        <fgColor rgb="FFF4B6B6"/>
        <bgColor rgb="FFF4B6B6"/>
      </patternFill>
    </fill>
    <fill>
      <patternFill patternType="solid">
        <fgColor rgb="FFFFE0A3"/>
        <bgColor rgb="FFFFE0A3"/>
      </patternFill>
    </fill>
    <fill>
      <patternFill patternType="solid">
        <fgColor rgb="FFC6E5C1"/>
        <bgColor rgb="FFC6E5C1"/>
      </patternFill>
    </fill>
    <fill>
      <patternFill patternType="solid">
        <fgColor rgb="FF1F3864"/>
        <bgColor rgb="FF1F3864"/>
      </patternFill>
    </fill>
  </fills>
  <borders count="11">
    <border/>
    <border>
      <left/>
      <right/>
      <top/>
      <bottom/>
    </border>
    <border>
      <left style="thin">
        <color rgb="FFA6A6A6"/>
      </left>
      <right style="thin">
        <color rgb="FFA6A6A6"/>
      </right>
      <top style="thin">
        <color rgb="FFA6A6A6"/>
      </top>
      <bottom style="thin">
        <color rgb="FFA6A6A6"/>
      </bottom>
    </border>
    <border>
      <left style="thin">
        <color rgb="FFA6A6A6"/>
      </left>
      <top style="thin">
        <color rgb="FFA6A6A6"/>
      </top>
    </border>
    <border>
      <top style="thin">
        <color rgb="FFA6A6A6"/>
      </top>
    </border>
    <border>
      <right style="thin">
        <color rgb="FFA6A6A6"/>
      </right>
      <top style="thin">
        <color rgb="FFA6A6A6"/>
      </top>
    </border>
    <border>
      <left style="thin">
        <color rgb="FFA6A6A6"/>
      </left>
    </border>
    <border>
      <right style="thin">
        <color rgb="FFA6A6A6"/>
      </right>
    </border>
    <border>
      <left style="thin">
        <color rgb="FFA6A6A6"/>
      </left>
      <bottom style="thin">
        <color rgb="FFA6A6A6"/>
      </bottom>
    </border>
    <border>
      <bottom style="thin">
        <color rgb="FFA6A6A6"/>
      </bottom>
    </border>
    <border>
      <right style="thin">
        <color rgb="FFA6A6A6"/>
      </right>
      <bottom style="thin">
        <color rgb="FFA6A6A6"/>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0"/>
    </xf>
    <xf borderId="0" fillId="0" fontId="5" numFmtId="0" xfId="0" applyAlignment="1" applyFont="1">
      <alignment shrinkToFit="0" vertical="top" wrapText="1"/>
    </xf>
    <xf borderId="0" fillId="0" fontId="4" numFmtId="0" xfId="0" applyAlignment="1" applyFont="1">
      <alignment shrinkToFit="0" vertical="bottom" wrapText="0"/>
    </xf>
    <xf borderId="1" fillId="3" fontId="4" numFmtId="0" xfId="0" applyAlignment="1" applyBorder="1" applyFill="1" applyFont="1">
      <alignment shrinkToFit="0" vertical="bottom" wrapText="0"/>
    </xf>
    <xf borderId="1" fillId="4" fontId="4" numFmtId="0" xfId="0" applyAlignment="1" applyBorder="1" applyFill="1" applyFont="1">
      <alignment shrinkToFit="0" vertical="bottom" wrapText="0"/>
    </xf>
    <xf borderId="1" fillId="5" fontId="4" numFmtId="0" xfId="0" applyAlignment="1" applyBorder="1" applyFill="1" applyFont="1">
      <alignment shrinkToFit="0" vertical="bottom" wrapText="0"/>
    </xf>
    <xf borderId="0" fillId="0" fontId="6" numFmtId="0" xfId="0" applyAlignment="1" applyFont="1">
      <alignment horizontal="center" shrinkToFit="0" vertical="center" wrapText="1"/>
    </xf>
    <xf borderId="2" fillId="5" fontId="4"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0" fillId="0" fontId="6" numFmtId="0" xfId="0" applyAlignment="1" applyFont="1">
      <alignment shrinkToFit="0" vertical="bottom" wrapText="0"/>
    </xf>
    <xf borderId="2" fillId="3" fontId="5" numFmtId="0" xfId="0" applyAlignment="1" applyBorder="1" applyFill="1" applyFont="1">
      <alignment shrinkToFit="0" vertical="bottom" wrapText="0"/>
    </xf>
    <xf borderId="0" fillId="0" fontId="7" numFmtId="0" xfId="0" applyAlignment="1" applyFont="1">
      <alignment shrinkToFit="0" vertical="bottom" wrapText="0"/>
    </xf>
    <xf borderId="2" fillId="4" fontId="5" numFmtId="0" xfId="0" applyAlignment="1" applyBorder="1" applyFill="1" applyFont="1">
      <alignment shrinkToFit="0" vertical="bottom" wrapText="0"/>
    </xf>
    <xf borderId="2" fillId="5" fontId="5" numFmtId="0" xfId="0" applyAlignment="1" applyBorder="1" applyFill="1" applyFont="1">
      <alignment shrinkToFit="0" vertical="bottom" wrapText="0"/>
    </xf>
    <xf borderId="0" fillId="0" fontId="8" numFmtId="0" xfId="0" applyAlignment="1" applyFont="1">
      <alignment shrinkToFit="0" vertical="bottom" wrapText="0"/>
    </xf>
    <xf borderId="2" fillId="6" fontId="9" numFmtId="0" xfId="0" applyAlignment="1" applyBorder="1" applyFill="1" applyFont="1">
      <alignment horizontal="center" shrinkToFit="0" vertical="center" wrapText="1"/>
    </xf>
    <xf borderId="2" fillId="0" fontId="5" numFmtId="0" xfId="0" applyAlignment="1" applyBorder="1" applyFont="1">
      <alignment horizontal="center" shrinkToFit="0" vertical="center" wrapText="1"/>
    </xf>
    <xf borderId="2" fillId="2" fontId="5" numFmtId="0" xfId="0" applyAlignment="1" applyBorder="1" applyFill="1" applyFont="1">
      <alignment horizontal="center" shrinkToFit="0" vertical="center" wrapText="1"/>
    </xf>
    <xf borderId="2" fillId="2" fontId="5" numFmtId="0" xfId="0" applyAlignment="1" applyBorder="1" applyFill="1" applyFont="1">
      <alignment shrinkToFit="0" vertical="top" wrapText="1"/>
    </xf>
    <xf borderId="2" fillId="2" fontId="5" numFmtId="164" xfId="0" applyAlignment="1" applyBorder="1" applyFill="1" applyFont="1" applyNumberFormat="1">
      <alignment horizontal="center" shrinkToFit="0" vertical="center" wrapText="1"/>
    </xf>
    <xf borderId="2" fillId="0" fontId="10" numFmtId="0" xfId="0" applyAlignment="1" applyBorder="1" applyFont="1">
      <alignment horizontal="center" shrinkToFit="0" vertical="center" wrapText="1"/>
    </xf>
    <xf borderId="2" fillId="2" fontId="5" numFmtId="0" xfId="0" applyAlignment="1" applyBorder="1" applyFill="1" applyFont="1">
      <alignment horizontal="center" readingOrder="0" shrinkToFit="0" vertical="center" wrapText="1"/>
    </xf>
    <xf borderId="0" fillId="2" fontId="11" numFmtId="0" xfId="0" applyAlignment="1" applyFill="1" applyFont="1">
      <alignment readingOrder="0" shrinkToFit="0" vertical="center" wrapText="1"/>
    </xf>
    <xf borderId="0" fillId="2" fontId="11" numFmtId="0" xfId="0" applyAlignment="1" applyFill="1" applyFont="1">
      <alignment horizontal="center" readingOrder="0" vertical="center"/>
    </xf>
    <xf borderId="0" fillId="2" fontId="11" numFmtId="0" xfId="0" applyAlignment="1" applyFill="1" applyFont="1">
      <alignment readingOrder="0" shrinkToFit="0" wrapText="1"/>
    </xf>
    <xf borderId="2" fillId="2" fontId="5" numFmtId="164" xfId="0" applyAlignment="1" applyBorder="1" applyFill="1" applyFont="1" applyNumberFormat="1">
      <alignment horizontal="center" readingOrder="0" shrinkToFit="0" vertical="center" wrapText="1"/>
    </xf>
    <xf borderId="0" fillId="2" fontId="11" numFmtId="0" xfId="0" applyAlignment="1" applyFill="1" applyFont="1">
      <alignment horizontal="center" readingOrder="0" shrinkToFit="0" vertical="center" wrapText="1"/>
    </xf>
    <xf borderId="0" fillId="2" fontId="11" numFmtId="0" xfId="0" applyAlignment="1" applyFill="1" applyFont="1">
      <alignment horizontal="center" readingOrder="0" shrinkToFit="0" wrapText="1"/>
    </xf>
    <xf borderId="2" fillId="0" fontId="5" numFmtId="0" xfId="0" applyAlignment="1" applyBorder="1" applyFont="1">
      <alignment horizontal="center" readingOrder="0" shrinkToFit="0" vertical="center" wrapText="1"/>
    </xf>
    <xf borderId="2" fillId="2" fontId="5" numFmtId="0" xfId="0" applyAlignment="1" applyBorder="1" applyFill="1" applyFont="1">
      <alignment readingOrder="0" shrinkToFit="0" vertical="center" wrapText="1"/>
    </xf>
    <xf borderId="2" fillId="2" fontId="5" numFmtId="0" xfId="0" applyAlignment="1" applyBorder="1" applyFill="1" applyFont="1">
      <alignment readingOrder="0" shrinkToFit="0" vertical="top" wrapText="1"/>
    </xf>
    <xf borderId="2" fillId="2" fontId="12" numFmtId="0" xfId="0" applyAlignment="1" applyBorder="1" applyFill="1" applyFont="1">
      <alignment readingOrder="0" shrinkToFit="0" vertical="top" wrapText="1"/>
    </xf>
    <xf borderId="2" fillId="0" fontId="5" numFmtId="0" xfId="0" applyAlignment="1" applyBorder="1" applyFont="1">
      <alignment shrinkToFit="0" vertical="top" wrapText="1"/>
    </xf>
    <xf borderId="2" fillId="0" fontId="5" numFmtId="164" xfId="0" applyAlignment="1" applyBorder="1" applyFont="1" applyNumberFormat="1">
      <alignment horizontal="center" shrinkToFit="0" vertical="center" wrapText="1"/>
    </xf>
    <xf borderId="0" fillId="0" fontId="7" numFmtId="0" xfId="0" applyAlignment="1" applyFont="1">
      <alignment shrinkToFit="0" vertical="top" wrapText="1"/>
    </xf>
    <xf borderId="3" fillId="2" fontId="5" numFmtId="0" xfId="0" applyAlignment="1" applyBorder="1" applyFill="1" applyFont="1">
      <alignment readingOrder="0" shrinkToFit="0" vertical="top" wrapText="1"/>
    </xf>
    <xf borderId="4" fillId="0" fontId="13" numFmtId="0" xfId="0" applyBorder="1" applyFont="1"/>
    <xf borderId="5" fillId="0" fontId="13" numFmtId="0" xfId="0" applyBorder="1" applyFont="1"/>
    <xf borderId="6" fillId="0" fontId="13" numFmtId="0" xfId="0" applyBorder="1" applyFont="1"/>
    <xf borderId="7" fillId="0" fontId="13" numFmtId="0" xfId="0" applyBorder="1" applyFont="1"/>
    <xf borderId="8" fillId="0" fontId="13" numFmtId="0" xfId="0" applyBorder="1" applyFont="1"/>
    <xf borderId="9" fillId="0" fontId="13" numFmtId="0" xfId="0" applyBorder="1" applyFont="1"/>
    <xf borderId="10" fillId="0" fontId="13" numFmtId="0" xfId="0" applyBorder="1" applyFont="1"/>
  </cellXfs>
  <cellStyles count="1">
    <cellStyle xfId="0" name="Normal" builtinId="0"/>
  </cellStyles>
  <dxfs count="3">
    <dxf>
      <font/>
      <fill>
        <patternFill patternType="solid">
          <fgColor rgb="FFF4B6B6"/>
          <bgColor rgb="FFF4B6B6"/>
        </patternFill>
      </fill>
      <border/>
    </dxf>
    <dxf>
      <font/>
      <fill>
        <patternFill patternType="solid">
          <fgColor rgb="FFFFE0A3"/>
          <bgColor rgb="FFFFE0A3"/>
        </patternFill>
      </fill>
      <border/>
    </dxf>
    <dxf>
      <font/>
      <fill>
        <patternFill patternType="solid">
          <fgColor rgb="FFC6E5C1"/>
          <bgColor rgb="FFC6E5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6.0"/>
    <col customWidth="1" min="3" max="3" width="80.0"/>
    <col customWidth="1" min="4" max="26" width="8.71"/>
  </cols>
  <sheetData>
    <row r="1">
      <c r="B1" s="1" t="s">
        <v>0</v>
      </c>
    </row>
    <row r="2">
      <c r="B2" s="2" t="s">
        <v>1</v>
      </c>
    </row>
    <row r="4">
      <c r="B4" s="3" t="s">
        <v>2</v>
      </c>
    </row>
    <row r="5">
      <c r="B5" s="4" t="s">
        <v>3</v>
      </c>
      <c r="C5" s="5" t="s">
        <v>4</v>
      </c>
    </row>
    <row r="6">
      <c r="B6" s="6" t="s">
        <v>5</v>
      </c>
      <c r="C6" s="5" t="s">
        <v>6</v>
      </c>
    </row>
    <row r="7">
      <c r="B7" s="6" t="s">
        <v>7</v>
      </c>
      <c r="C7" s="5" t="s">
        <v>8</v>
      </c>
    </row>
    <row r="8">
      <c r="B8" s="6"/>
      <c r="C8" s="5"/>
    </row>
    <row r="9">
      <c r="B9" s="3" t="s">
        <v>9</v>
      </c>
    </row>
    <row r="10">
      <c r="B10" s="6" t="s">
        <v>10</v>
      </c>
      <c r="C10" s="5" t="s">
        <v>11</v>
      </c>
    </row>
    <row r="11">
      <c r="B11" s="6" t="s">
        <v>12</v>
      </c>
      <c r="C11" s="5" t="s">
        <v>13</v>
      </c>
    </row>
    <row r="12">
      <c r="B12" s="6" t="s">
        <v>14</v>
      </c>
      <c r="C12" s="5" t="s">
        <v>15</v>
      </c>
    </row>
    <row r="13">
      <c r="B13" s="6" t="s">
        <v>16</v>
      </c>
      <c r="C13" s="5" t="s">
        <v>17</v>
      </c>
    </row>
    <row r="14">
      <c r="B14" s="6" t="s">
        <v>18</v>
      </c>
      <c r="C14" s="5" t="s">
        <v>19</v>
      </c>
    </row>
    <row r="15">
      <c r="B15" s="6"/>
      <c r="C15" s="5"/>
    </row>
    <row r="16">
      <c r="B16" s="3" t="s">
        <v>20</v>
      </c>
    </row>
    <row r="17">
      <c r="B17" s="6" t="s">
        <v>21</v>
      </c>
      <c r="C17" s="5" t="s">
        <v>22</v>
      </c>
    </row>
    <row r="18">
      <c r="B18" s="6" t="s">
        <v>23</v>
      </c>
      <c r="C18" s="5" t="s">
        <v>24</v>
      </c>
    </row>
    <row r="19">
      <c r="B19" s="6" t="s">
        <v>25</v>
      </c>
      <c r="C19" s="5" t="s">
        <v>26</v>
      </c>
    </row>
    <row r="20">
      <c r="B20" s="6" t="s">
        <v>27</v>
      </c>
      <c r="C20" s="5" t="s">
        <v>28</v>
      </c>
    </row>
    <row r="21" ht="15.75" customHeight="1">
      <c r="B21" s="6" t="s">
        <v>29</v>
      </c>
      <c r="C21" s="5" t="s">
        <v>30</v>
      </c>
    </row>
    <row r="22" ht="15.75" customHeight="1">
      <c r="B22" s="6"/>
      <c r="C22" s="5"/>
    </row>
    <row r="23" ht="15.75" customHeight="1">
      <c r="B23" s="3" t="s">
        <v>31</v>
      </c>
    </row>
    <row r="24" ht="15.75" customHeight="1">
      <c r="B24" s="7" t="s">
        <v>32</v>
      </c>
      <c r="C24" s="5" t="s">
        <v>33</v>
      </c>
    </row>
    <row r="25" ht="15.75" customHeight="1">
      <c r="B25" s="8" t="s">
        <v>34</v>
      </c>
      <c r="C25" s="5" t="s">
        <v>35</v>
      </c>
    </row>
    <row r="26" ht="15.75" customHeight="1">
      <c r="B26" s="9" t="s">
        <v>36</v>
      </c>
      <c r="C26" s="5" t="s">
        <v>37</v>
      </c>
    </row>
    <row r="27" ht="15.75" customHeight="1">
      <c r="B27" s="6" t="s">
        <v>38</v>
      </c>
      <c r="C27" s="5" t="s">
        <v>39</v>
      </c>
    </row>
    <row r="28" ht="15.75" customHeight="1">
      <c r="B28" s="6"/>
      <c r="C28" s="5"/>
    </row>
    <row r="29" ht="15.75" customHeight="1">
      <c r="B29" s="3" t="s">
        <v>40</v>
      </c>
    </row>
    <row r="30" ht="15.75" customHeight="1">
      <c r="B30" s="6" t="s">
        <v>41</v>
      </c>
      <c r="C30" s="5" t="s">
        <v>42</v>
      </c>
    </row>
    <row r="31" ht="15.75" customHeight="1">
      <c r="B31" s="6" t="s">
        <v>43</v>
      </c>
      <c r="C31" s="5" t="s">
        <v>44</v>
      </c>
    </row>
    <row r="32" ht="15.75" customHeight="1">
      <c r="B32" s="6" t="s">
        <v>45</v>
      </c>
      <c r="C32" s="5" t="s">
        <v>46</v>
      </c>
    </row>
    <row r="33" ht="15.75" customHeight="1">
      <c r="B33" s="6" t="s">
        <v>47</v>
      </c>
      <c r="C33" s="5" t="s">
        <v>48</v>
      </c>
    </row>
    <row r="34" ht="15.75" customHeight="1">
      <c r="B34" s="6" t="s">
        <v>49</v>
      </c>
      <c r="C34" s="5" t="s">
        <v>50</v>
      </c>
    </row>
    <row r="35" ht="15.75" customHeight="1">
      <c r="B35" s="6" t="s">
        <v>51</v>
      </c>
      <c r="C35" s="5" t="s">
        <v>52</v>
      </c>
    </row>
    <row r="36" ht="15.75" customHeight="1">
      <c r="B36" s="6"/>
      <c r="C36" s="5"/>
    </row>
    <row r="37" ht="15.75" customHeight="1">
      <c r="B37" s="6" t="s">
        <v>53</v>
      </c>
      <c r="C37" s="5" t="s">
        <v>54</v>
      </c>
    </row>
    <row r="38" ht="15.75" customHeight="1">
      <c r="B38" s="6" t="s">
        <v>55</v>
      </c>
      <c r="C38" s="5" t="s">
        <v>56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6.0"/>
    <col customWidth="1" min="3" max="7" width="17.0"/>
    <col customWidth="1" min="8" max="8" width="8.71"/>
    <col customWidth="1" min="9" max="9" width="16.0"/>
    <col customWidth="1" min="10" max="26" width="8.71"/>
  </cols>
  <sheetData>
    <row r="1">
      <c r="A1" s="1" t="s">
        <v>57</v>
      </c>
    </row>
    <row r="2">
      <c r="A2" s="2" t="s">
        <v>58</v>
      </c>
    </row>
    <row r="4">
      <c r="A4" s="3" t="s">
        <v>59</v>
      </c>
    </row>
    <row r="5" ht="45.75" customHeight="1">
      <c r="B5" s="10">
        <v>5.0</v>
      </c>
      <c r="C5" s="11" t="str">
        <f>TEXTJOIN(", ",TRUE(),IF('Risk Register'!$O$5="5-1",'Risk Register'!$A$5,""),IF('Risk Register'!$O$6="5-1",'Risk Register'!$A$6,""),IF('Risk Register'!$O$7="5-1",'Risk Register'!$A$7,""),IF('Risk Register'!$O$8="5-1",'Risk Register'!$A$8,""),IF('Risk Register'!$O$9="5-1",'Risk Register'!$A$9,""),IF('Risk Register'!$O$10="5-1",'Risk Register'!$A$10,""),IF('Risk Register'!$O$11="5-1",'Risk Register'!$A$11,""),IF('Risk Register'!$O$12="5-1",'Risk Register'!$A$12,""),IF('Risk Register'!$O$13="5-1",'Risk Register'!$A$13,""),IF('Risk Register'!$O$14="5-1",'Risk Register'!$A$14,""),IF('Risk Register'!$O$15="5-1",'Risk Register'!$A$15,""),IF('Risk Register'!$O$16="5-1",'Risk Register'!$A$16,""),IF('Risk Register'!$O$17="5-1",'Risk Register'!$A$17,""),IF('Risk Register'!$O$18="5-1",'Risk Register'!$A$18,""),IF('Risk Register'!$O$19="5-1",'Risk Register'!$A$19,""))</f>
        <v/>
      </c>
      <c r="D5" s="12" t="str">
        <f>TEXTJOIN(", ",TRUE(),IF('Risk Register'!$O$5="5-2",'Risk Register'!$A$5,""),IF('Risk Register'!$O$6="5-2",'Risk Register'!$A$6,""),IF('Risk Register'!$O$7="5-2",'Risk Register'!$A$7,""),IF('Risk Register'!$O$8="5-2",'Risk Register'!$A$8,""),IF('Risk Register'!$O$9="5-2",'Risk Register'!$A$9,""),IF('Risk Register'!$O$10="5-2",'Risk Register'!$A$10,""),IF('Risk Register'!$O$11="5-2",'Risk Register'!$A$11,""),IF('Risk Register'!$O$12="5-2",'Risk Register'!$A$12,""),IF('Risk Register'!$O$13="5-2",'Risk Register'!$A$13,""),IF('Risk Register'!$O$14="5-2",'Risk Register'!$A$14,""),IF('Risk Register'!$O$15="5-2",'Risk Register'!$A$15,""),IF('Risk Register'!$O$16="5-2",'Risk Register'!$A$16,""),IF('Risk Register'!$O$17="5-2",'Risk Register'!$A$17,""),IF('Risk Register'!$O$18="5-2",'Risk Register'!$A$18,""),IF('Risk Register'!$O$19="5-2",'Risk Register'!$A$19,""))</f>
        <v/>
      </c>
      <c r="E5" s="13" t="str">
        <f>TEXTJOIN(", ",TRUE(),IF('Risk Register'!$O$5="5-3",'Risk Register'!$A$5,""),IF('Risk Register'!$O$6="5-3",'Risk Register'!$A$6,""),IF('Risk Register'!$O$7="5-3",'Risk Register'!$A$7,""),IF('Risk Register'!$O$8="5-3",'Risk Register'!$A$8,""),IF('Risk Register'!$O$9="5-3",'Risk Register'!$A$9,""),IF('Risk Register'!$O$10="5-3",'Risk Register'!$A$10,""),IF('Risk Register'!$O$11="5-3",'Risk Register'!$A$11,""),IF('Risk Register'!$O$12="5-3",'Risk Register'!$A$12,""),IF('Risk Register'!$O$13="5-3",'Risk Register'!$A$13,""),IF('Risk Register'!$O$14="5-3",'Risk Register'!$A$14,""),IF('Risk Register'!$O$15="5-3",'Risk Register'!$A$15,""),IF('Risk Register'!$O$16="5-3",'Risk Register'!$A$16,""),IF('Risk Register'!$O$17="5-3",'Risk Register'!$A$17,""),IF('Risk Register'!$O$18="5-3",'Risk Register'!$A$18,""),IF('Risk Register'!$O$19="5-3",'Risk Register'!$A$19,""))</f>
        <v/>
      </c>
      <c r="F5" s="13" t="str">
        <f>TEXTJOIN(", ",TRUE(),IF('Risk Register'!$O$5="5-4",'Risk Register'!$A$5,""),IF('Risk Register'!$O$6="5-4",'Risk Register'!$A$6,""),IF('Risk Register'!$O$7="5-4",'Risk Register'!$A$7,""),IF('Risk Register'!$O$8="5-4",'Risk Register'!$A$8,""),IF('Risk Register'!$O$9="5-4",'Risk Register'!$A$9,""),IF('Risk Register'!$O$10="5-4",'Risk Register'!$A$10,""),IF('Risk Register'!$O$11="5-4",'Risk Register'!$A$11,""),IF('Risk Register'!$O$12="5-4",'Risk Register'!$A$12,""),IF('Risk Register'!$O$13="5-4",'Risk Register'!$A$13,""),IF('Risk Register'!$O$14="5-4",'Risk Register'!$A$14,""),IF('Risk Register'!$O$15="5-4",'Risk Register'!$A$15,""),IF('Risk Register'!$O$16="5-4",'Risk Register'!$A$16,""),IF('Risk Register'!$O$17="5-4",'Risk Register'!$A$17,""),IF('Risk Register'!$O$18="5-4",'Risk Register'!$A$18,""),IF('Risk Register'!$O$19="5-4",'Risk Register'!$A$19,""))</f>
        <v/>
      </c>
      <c r="G5" s="13" t="str">
        <f>TEXTJOIN(", ",TRUE(),IF('Risk Register'!$O$5="5-5",'Risk Register'!$A$5,""),IF('Risk Register'!$O$6="5-5",'Risk Register'!$A$6,""),IF('Risk Register'!$O$7="5-5",'Risk Register'!$A$7,""),IF('Risk Register'!$O$8="5-5",'Risk Register'!$A$8,""),IF('Risk Register'!$O$9="5-5",'Risk Register'!$A$9,""),IF('Risk Register'!$O$10="5-5",'Risk Register'!$A$10,""),IF('Risk Register'!$O$11="5-5",'Risk Register'!$A$11,""),IF('Risk Register'!$O$12="5-5",'Risk Register'!$A$12,""),IF('Risk Register'!$O$13="5-5",'Risk Register'!$A$13,""),IF('Risk Register'!$O$14="5-5",'Risk Register'!$A$14,""),IF('Risk Register'!$O$15="5-5",'Risk Register'!$A$15,""),IF('Risk Register'!$O$16="5-5",'Risk Register'!$A$16,""),IF('Risk Register'!$O$17="5-5",'Risk Register'!$A$17,""),IF('Risk Register'!$O$18="5-5",'Risk Register'!$A$18,""),IF('Risk Register'!$O$19="5-5",'Risk Register'!$A$19,""))</f>
        <v/>
      </c>
      <c r="I5" s="14" t="s">
        <v>60</v>
      </c>
    </row>
    <row r="6" ht="45.75" customHeight="1">
      <c r="B6" s="10">
        <v>4.0</v>
      </c>
      <c r="C6" s="11" t="str">
        <f>TEXTJOIN(", ",TRUE(),IF('Risk Register'!$O$5="4-1",'Risk Register'!$A$5,""),IF('Risk Register'!$O$6="4-1",'Risk Register'!$A$6,""),IF('Risk Register'!$O$7="4-1",'Risk Register'!$A$7,""),IF('Risk Register'!$O$8="4-1",'Risk Register'!$A$8,""),IF('Risk Register'!$O$9="4-1",'Risk Register'!$A$9,""),IF('Risk Register'!$O$10="4-1",'Risk Register'!$A$10,""),IF('Risk Register'!$O$11="4-1",'Risk Register'!$A$11,""),IF('Risk Register'!$O$12="4-1",'Risk Register'!$A$12,""),IF('Risk Register'!$O$13="4-1",'Risk Register'!$A$13,""),IF('Risk Register'!$O$14="4-1",'Risk Register'!$A$14,""),IF('Risk Register'!$O$15="4-1",'Risk Register'!$A$15,""),IF('Risk Register'!$O$16="4-1",'Risk Register'!$A$16,""),IF('Risk Register'!$O$17="4-1",'Risk Register'!$A$17,""),IF('Risk Register'!$O$18="4-1",'Risk Register'!$A$18,""),IF('Risk Register'!$O$19="4-1",'Risk Register'!$A$19,""))</f>
        <v/>
      </c>
      <c r="D6" s="12" t="str">
        <f>TEXTJOIN(", ",TRUE(),IF('Risk Register'!$O$5="4-2",'Risk Register'!$A$5,""),IF('Risk Register'!$O$6="4-2",'Risk Register'!$A$6,""),IF('Risk Register'!$O$7="4-2",'Risk Register'!$A$7,""),IF('Risk Register'!$O$8="4-2",'Risk Register'!$A$8,""),IF('Risk Register'!$O$9="4-2",'Risk Register'!$A$9,""),IF('Risk Register'!$O$10="4-2",'Risk Register'!$A$10,""),IF('Risk Register'!$O$11="4-2",'Risk Register'!$A$11,""),IF('Risk Register'!$O$12="4-2",'Risk Register'!$A$12,""),IF('Risk Register'!$O$13="4-2",'Risk Register'!$A$13,""),IF('Risk Register'!$O$14="4-2",'Risk Register'!$A$14,""),IF('Risk Register'!$O$15="4-2",'Risk Register'!$A$15,""),IF('Risk Register'!$O$16="4-2",'Risk Register'!$A$16,""),IF('Risk Register'!$O$17="4-2",'Risk Register'!$A$17,""),IF('Risk Register'!$O$18="4-2",'Risk Register'!$A$18,""),IF('Risk Register'!$O$19="4-2",'Risk Register'!$A$19,""))</f>
        <v/>
      </c>
      <c r="E6" s="12" t="str">
        <f>TEXTJOIN(", ",TRUE(),IF('Risk Register'!$O$5="4-3",'Risk Register'!$A$5,""),IF('Risk Register'!$O$6="4-3",'Risk Register'!$A$6,""),IF('Risk Register'!$O$7="4-3",'Risk Register'!$A$7,""),IF('Risk Register'!$O$8="4-3",'Risk Register'!$A$8,""),IF('Risk Register'!$O$9="4-3",'Risk Register'!$A$9,""),IF('Risk Register'!$O$10="4-3",'Risk Register'!$A$10,""),IF('Risk Register'!$O$11="4-3",'Risk Register'!$A$11,""),IF('Risk Register'!$O$12="4-3",'Risk Register'!$A$12,""),IF('Risk Register'!$O$13="4-3",'Risk Register'!$A$13,""),IF('Risk Register'!$O$14="4-3",'Risk Register'!$A$14,""),IF('Risk Register'!$O$15="4-3",'Risk Register'!$A$15,""),IF('Risk Register'!$O$16="4-3",'Risk Register'!$A$16,""),IF('Risk Register'!$O$17="4-3",'Risk Register'!$A$17,""),IF('Risk Register'!$O$18="4-3",'Risk Register'!$A$18,""),IF('Risk Register'!$O$19="4-3",'Risk Register'!$A$19,""))</f>
        <v/>
      </c>
      <c r="F6" s="13" t="str">
        <f>TEXTJOIN(", ",TRUE(),IF('Risk Register'!$O$5="4-4",'Risk Register'!$A$5,""),IF('Risk Register'!$O$6="4-4",'Risk Register'!$A$6,""),IF('Risk Register'!$O$7="4-4",'Risk Register'!$A$7,""),IF('Risk Register'!$O$8="4-4",'Risk Register'!$A$8,""),IF('Risk Register'!$O$9="4-4",'Risk Register'!$A$9,""),IF('Risk Register'!$O$10="4-4",'Risk Register'!$A$10,""),IF('Risk Register'!$O$11="4-4",'Risk Register'!$A$11,""),IF('Risk Register'!$O$12="4-4",'Risk Register'!$A$12,""),IF('Risk Register'!$O$13="4-4",'Risk Register'!$A$13,""),IF('Risk Register'!$O$14="4-4",'Risk Register'!$A$14,""),IF('Risk Register'!$O$15="4-4",'Risk Register'!$A$15,""),IF('Risk Register'!$O$16="4-4",'Risk Register'!$A$16,""),IF('Risk Register'!$O$17="4-4",'Risk Register'!$A$17,""),IF('Risk Register'!$O$18="4-4",'Risk Register'!$A$18,""),IF('Risk Register'!$O$19="4-4",'Risk Register'!$A$19,""))</f>
        <v>R-02, R-05, R-08</v>
      </c>
      <c r="G6" s="13" t="str">
        <f>TEXTJOIN(", ",TRUE(),IF('Risk Register'!$O$5="4-5",'Risk Register'!$A$5,""),IF('Risk Register'!$O$6="4-5",'Risk Register'!$A$6,""),IF('Risk Register'!$O$7="4-5",'Risk Register'!$A$7,""),IF('Risk Register'!$O$8="4-5",'Risk Register'!$A$8,""),IF('Risk Register'!$O$9="4-5",'Risk Register'!$A$9,""),IF('Risk Register'!$O$10="4-5",'Risk Register'!$A$10,""),IF('Risk Register'!$O$11="4-5",'Risk Register'!$A$11,""),IF('Risk Register'!$O$12="4-5",'Risk Register'!$A$12,""),IF('Risk Register'!$O$13="4-5",'Risk Register'!$A$13,""),IF('Risk Register'!$O$14="4-5",'Risk Register'!$A$14,""),IF('Risk Register'!$O$15="4-5",'Risk Register'!$A$15,""),IF('Risk Register'!$O$16="4-5",'Risk Register'!$A$16,""),IF('Risk Register'!$O$17="4-5",'Risk Register'!$A$17,""),IF('Risk Register'!$O$18="4-5",'Risk Register'!$A$18,""),IF('Risk Register'!$O$19="4-5",'Risk Register'!$A$19,""))</f>
        <v>R-01</v>
      </c>
      <c r="I6" s="15" t="s">
        <v>61</v>
      </c>
    </row>
    <row r="7" ht="45.75" customHeight="1">
      <c r="A7" s="16" t="s">
        <v>62</v>
      </c>
      <c r="B7" s="10">
        <v>3.0</v>
      </c>
      <c r="C7" s="11" t="str">
        <f>TEXTJOIN(", ",TRUE(),IF('Risk Register'!$O$5="3-1",'Risk Register'!$A$5,""),IF('Risk Register'!$O$6="3-1",'Risk Register'!$A$6,""),IF('Risk Register'!$O$7="3-1",'Risk Register'!$A$7,""),IF('Risk Register'!$O$8="3-1",'Risk Register'!$A$8,""),IF('Risk Register'!$O$9="3-1",'Risk Register'!$A$9,""),IF('Risk Register'!$O$10="3-1",'Risk Register'!$A$10,""),IF('Risk Register'!$O$11="3-1",'Risk Register'!$A$11,""),IF('Risk Register'!$O$12="3-1",'Risk Register'!$A$12,""),IF('Risk Register'!$O$13="3-1",'Risk Register'!$A$13,""),IF('Risk Register'!$O$14="3-1",'Risk Register'!$A$14,""),IF('Risk Register'!$O$15="3-1",'Risk Register'!$A$15,""),IF('Risk Register'!$O$16="3-1",'Risk Register'!$A$16,""),IF('Risk Register'!$O$17="3-1",'Risk Register'!$A$17,""),IF('Risk Register'!$O$18="3-1",'Risk Register'!$A$18,""),IF('Risk Register'!$O$19="3-1",'Risk Register'!$A$19,""))</f>
        <v/>
      </c>
      <c r="D7" s="11" t="str">
        <f>TEXTJOIN(", ",TRUE(),IF('Risk Register'!$O$5="3-2",'Risk Register'!$A$5,""),IF('Risk Register'!$O$6="3-2",'Risk Register'!$A$6,""),IF('Risk Register'!$O$7="3-2",'Risk Register'!$A$7,""),IF('Risk Register'!$O$8="3-2",'Risk Register'!$A$8,""),IF('Risk Register'!$O$9="3-2",'Risk Register'!$A$9,""),IF('Risk Register'!$O$10="3-2",'Risk Register'!$A$10,""),IF('Risk Register'!$O$11="3-2",'Risk Register'!$A$11,""),IF('Risk Register'!$O$12="3-2",'Risk Register'!$A$12,""),IF('Risk Register'!$O$13="3-2",'Risk Register'!$A$13,""),IF('Risk Register'!$O$14="3-2",'Risk Register'!$A$14,""),IF('Risk Register'!$O$15="3-2",'Risk Register'!$A$15,""),IF('Risk Register'!$O$16="3-2",'Risk Register'!$A$16,""),IF('Risk Register'!$O$17="3-2",'Risk Register'!$A$17,""),IF('Risk Register'!$O$18="3-2",'Risk Register'!$A$18,""),IF('Risk Register'!$O$19="3-2",'Risk Register'!$A$19,""))</f>
        <v>R-12</v>
      </c>
      <c r="E7" s="12" t="str">
        <f>TEXTJOIN(", ",TRUE(),IF('Risk Register'!$O$5="3-3",'Risk Register'!$A$5,""),IF('Risk Register'!$O$6="3-3",'Risk Register'!$A$6,""),IF('Risk Register'!$O$7="3-3",'Risk Register'!$A$7,""),IF('Risk Register'!$O$8="3-3",'Risk Register'!$A$8,""),IF('Risk Register'!$O$9="3-3",'Risk Register'!$A$9,""),IF('Risk Register'!$O$10="3-3",'Risk Register'!$A$10,""),IF('Risk Register'!$O$11="3-3",'Risk Register'!$A$11,""),IF('Risk Register'!$O$12="3-3",'Risk Register'!$A$12,""),IF('Risk Register'!$O$13="3-3",'Risk Register'!$A$13,""),IF('Risk Register'!$O$14="3-3",'Risk Register'!$A$14,""),IF('Risk Register'!$O$15="3-3",'Risk Register'!$A$15,""),IF('Risk Register'!$O$16="3-3",'Risk Register'!$A$16,""),IF('Risk Register'!$O$17="3-3",'Risk Register'!$A$17,""),IF('Risk Register'!$O$18="3-3",'Risk Register'!$A$18,""),IF('Risk Register'!$O$19="3-3",'Risk Register'!$A$19,""))</f>
        <v>R-09, R-10</v>
      </c>
      <c r="F7" s="12" t="str">
        <f>TEXTJOIN(", ",TRUE(),IF('Risk Register'!$O$5="3-4",'Risk Register'!$A$5,""),IF('Risk Register'!$O$6="3-4",'Risk Register'!$A$6,""),IF('Risk Register'!$O$7="3-4",'Risk Register'!$A$7,""),IF('Risk Register'!$O$8="3-4",'Risk Register'!$A$8,""),IF('Risk Register'!$O$9="3-4",'Risk Register'!$A$9,""),IF('Risk Register'!$O$10="3-4",'Risk Register'!$A$10,""),IF('Risk Register'!$O$11="3-4",'Risk Register'!$A$11,""),IF('Risk Register'!$O$12="3-4",'Risk Register'!$A$12,""),IF('Risk Register'!$O$13="3-4",'Risk Register'!$A$13,""),IF('Risk Register'!$O$14="3-4",'Risk Register'!$A$14,""),IF('Risk Register'!$O$15="3-4",'Risk Register'!$A$15,""),IF('Risk Register'!$O$16="3-4",'Risk Register'!$A$16,""),IF('Risk Register'!$O$17="3-4",'Risk Register'!$A$17,""),IF('Risk Register'!$O$18="3-4",'Risk Register'!$A$18,""),IF('Risk Register'!$O$19="3-4",'Risk Register'!$A$19,""))</f>
        <v>R-04</v>
      </c>
      <c r="G7" s="13" t="str">
        <f>TEXTJOIN(", ",TRUE(),IF('Risk Register'!$O$5="3-5",'Risk Register'!$A$5,""),IF('Risk Register'!$O$6="3-5",'Risk Register'!$A$6,""),IF('Risk Register'!$O$7="3-5",'Risk Register'!$A$7,""),IF('Risk Register'!$O$8="3-5",'Risk Register'!$A$8,""),IF('Risk Register'!$O$9="3-5",'Risk Register'!$A$9,""),IF('Risk Register'!$O$10="3-5",'Risk Register'!$A$10,""),IF('Risk Register'!$O$11="3-5",'Risk Register'!$A$11,""),IF('Risk Register'!$O$12="3-5",'Risk Register'!$A$12,""),IF('Risk Register'!$O$13="3-5",'Risk Register'!$A$13,""),IF('Risk Register'!$O$14="3-5",'Risk Register'!$A$14,""),IF('Risk Register'!$O$15="3-5",'Risk Register'!$A$15,""),IF('Risk Register'!$O$16="3-5",'Risk Register'!$A$16,""),IF('Risk Register'!$O$17="3-5",'Risk Register'!$A$17,""),IF('Risk Register'!$O$18="3-5",'Risk Register'!$A$18,""),IF('Risk Register'!$O$19="3-5",'Risk Register'!$A$19,""))</f>
        <v/>
      </c>
      <c r="I7" s="17" t="s">
        <v>63</v>
      </c>
    </row>
    <row r="8" ht="45.75" customHeight="1">
      <c r="B8" s="10">
        <v>2.0</v>
      </c>
      <c r="C8" s="11" t="str">
        <f>TEXTJOIN(", ",TRUE(),IF('Risk Register'!$O$5="2-1",'Risk Register'!$A$5,""),IF('Risk Register'!$O$6="2-1",'Risk Register'!$A$6,""),IF('Risk Register'!$O$7="2-1",'Risk Register'!$A$7,""),IF('Risk Register'!$O$8="2-1",'Risk Register'!$A$8,""),IF('Risk Register'!$O$9="2-1",'Risk Register'!$A$9,""),IF('Risk Register'!$O$10="2-1",'Risk Register'!$A$10,""),IF('Risk Register'!$O$11="2-1",'Risk Register'!$A$11,""),IF('Risk Register'!$O$12="2-1",'Risk Register'!$A$12,""),IF('Risk Register'!$O$13="2-1",'Risk Register'!$A$13,""),IF('Risk Register'!$O$14="2-1",'Risk Register'!$A$14,""),IF('Risk Register'!$O$15="2-1",'Risk Register'!$A$15,""),IF('Risk Register'!$O$16="2-1",'Risk Register'!$A$16,""),IF('Risk Register'!$O$17="2-1",'Risk Register'!$A$17,""),IF('Risk Register'!$O$18="2-1",'Risk Register'!$A$18,""),IF('Risk Register'!$O$19="2-1",'Risk Register'!$A$19,""))</f>
        <v/>
      </c>
      <c r="D8" s="11" t="str">
        <f>TEXTJOIN(", ",TRUE(),IF('Risk Register'!$O$5="2-2",'Risk Register'!$A$5,""),IF('Risk Register'!$O$6="2-2",'Risk Register'!$A$6,""),IF('Risk Register'!$O$7="2-2",'Risk Register'!$A$7,""),IF('Risk Register'!$O$8="2-2",'Risk Register'!$A$8,""),IF('Risk Register'!$O$9="2-2",'Risk Register'!$A$9,""),IF('Risk Register'!$O$10="2-2",'Risk Register'!$A$10,""),IF('Risk Register'!$O$11="2-2",'Risk Register'!$A$11,""),IF('Risk Register'!$O$12="2-2",'Risk Register'!$A$12,""),IF('Risk Register'!$O$13="2-2",'Risk Register'!$A$13,""),IF('Risk Register'!$O$14="2-2",'Risk Register'!$A$14,""),IF('Risk Register'!$O$15="2-2",'Risk Register'!$A$15,""),IF('Risk Register'!$O$16="2-2",'Risk Register'!$A$16,""),IF('Risk Register'!$O$17="2-2",'Risk Register'!$A$17,""),IF('Risk Register'!$O$18="2-2",'Risk Register'!$A$18,""),IF('Risk Register'!$O$19="2-2",'Risk Register'!$A$19,""))</f>
        <v/>
      </c>
      <c r="E8" s="11" t="str">
        <f>TEXTJOIN(", ",TRUE(),IF('Risk Register'!$O$5="2-3",'Risk Register'!$A$5,""),IF('Risk Register'!$O$6="2-3",'Risk Register'!$A$6,""),IF('Risk Register'!$O$7="2-3",'Risk Register'!$A$7,""),IF('Risk Register'!$O$8="2-3",'Risk Register'!$A$8,""),IF('Risk Register'!$O$9="2-3",'Risk Register'!$A$9,""),IF('Risk Register'!$O$10="2-3",'Risk Register'!$A$10,""),IF('Risk Register'!$O$11="2-3",'Risk Register'!$A$11,""),IF('Risk Register'!$O$12="2-3",'Risk Register'!$A$12,""),IF('Risk Register'!$O$13="2-3",'Risk Register'!$A$13,""),IF('Risk Register'!$O$14="2-3",'Risk Register'!$A$14,""),IF('Risk Register'!$O$15="2-3",'Risk Register'!$A$15,""),IF('Risk Register'!$O$16="2-3",'Risk Register'!$A$16,""),IF('Risk Register'!$O$17="2-3",'Risk Register'!$A$17,""),IF('Risk Register'!$O$18="2-3",'Risk Register'!$A$18,""),IF('Risk Register'!$O$19="2-3",'Risk Register'!$A$19,""))</f>
        <v>R-07</v>
      </c>
      <c r="F8" s="12" t="str">
        <f>TEXTJOIN(", ",TRUE(),IF('Risk Register'!$O$5="2-4",'Risk Register'!$A$5,""),IF('Risk Register'!$O$6="2-4",'Risk Register'!$A$6,""),IF('Risk Register'!$O$7="2-4",'Risk Register'!$A$7,""),IF('Risk Register'!$O$8="2-4",'Risk Register'!$A$8,""),IF('Risk Register'!$O$9="2-4",'Risk Register'!$A$9,""),IF('Risk Register'!$O$10="2-4",'Risk Register'!$A$10,""),IF('Risk Register'!$O$11="2-4",'Risk Register'!$A$11,""),IF('Risk Register'!$O$12="2-4",'Risk Register'!$A$12,""),IF('Risk Register'!$O$13="2-4",'Risk Register'!$A$13,""),IF('Risk Register'!$O$14="2-4",'Risk Register'!$A$14,""),IF('Risk Register'!$O$15="2-4",'Risk Register'!$A$15,""),IF('Risk Register'!$O$16="2-4",'Risk Register'!$A$16,""),IF('Risk Register'!$O$17="2-4",'Risk Register'!$A$17,""),IF('Risk Register'!$O$18="2-4",'Risk Register'!$A$18,""),IF('Risk Register'!$O$19="2-4",'Risk Register'!$A$19,""))</f>
        <v>R-03, R-11</v>
      </c>
      <c r="G8" s="12" t="str">
        <f>TEXTJOIN(", ",TRUE(),IF('Risk Register'!$O$5="2-5",'Risk Register'!$A$5,""),IF('Risk Register'!$O$6="2-5",'Risk Register'!$A$6,""),IF('Risk Register'!$O$7="2-5",'Risk Register'!$A$7,""),IF('Risk Register'!$O$8="2-5",'Risk Register'!$A$8,""),IF('Risk Register'!$O$9="2-5",'Risk Register'!$A$9,""),IF('Risk Register'!$O$10="2-5",'Risk Register'!$A$10,""),IF('Risk Register'!$O$11="2-5",'Risk Register'!$A$11,""),IF('Risk Register'!$O$12="2-5",'Risk Register'!$A$12,""),IF('Risk Register'!$O$13="2-5",'Risk Register'!$A$13,""),IF('Risk Register'!$O$14="2-5",'Risk Register'!$A$14,""),IF('Risk Register'!$O$15="2-5",'Risk Register'!$A$15,""),IF('Risk Register'!$O$16="2-5",'Risk Register'!$A$16,""),IF('Risk Register'!$O$17="2-5",'Risk Register'!$A$17,""),IF('Risk Register'!$O$18="2-5",'Risk Register'!$A$18,""),IF('Risk Register'!$O$19="2-5",'Risk Register'!$A$19,""))</f>
        <v>R-06</v>
      </c>
      <c r="I8" s="18" t="s">
        <v>64</v>
      </c>
    </row>
    <row r="9" ht="45.75" customHeight="1">
      <c r="B9" s="10">
        <v>1.0</v>
      </c>
      <c r="C9" s="11" t="str">
        <f>TEXTJOIN(", ",TRUE(),IF('Risk Register'!$O$5="1-1",'Risk Register'!$A$5,""),IF('Risk Register'!$O$6="1-1",'Risk Register'!$A$6,""),IF('Risk Register'!$O$7="1-1",'Risk Register'!$A$7,""),IF('Risk Register'!$O$8="1-1",'Risk Register'!$A$8,""),IF('Risk Register'!$O$9="1-1",'Risk Register'!$A$9,""),IF('Risk Register'!$O$10="1-1",'Risk Register'!$A$10,""),IF('Risk Register'!$O$11="1-1",'Risk Register'!$A$11,""),IF('Risk Register'!$O$12="1-1",'Risk Register'!$A$12,""),IF('Risk Register'!$O$13="1-1",'Risk Register'!$A$13,""),IF('Risk Register'!$O$14="1-1",'Risk Register'!$A$14,""),IF('Risk Register'!$O$15="1-1",'Risk Register'!$A$15,""),IF('Risk Register'!$O$16="1-1",'Risk Register'!$A$16,""),IF('Risk Register'!$O$17="1-1",'Risk Register'!$A$17,""),IF('Risk Register'!$O$18="1-1",'Risk Register'!$A$18,""),IF('Risk Register'!$O$19="1-1",'Risk Register'!$A$19,""))</f>
        <v/>
      </c>
      <c r="D9" s="11" t="str">
        <f>TEXTJOIN(", ",TRUE(),IF('Risk Register'!$O$5="1-2",'Risk Register'!$A$5,""),IF('Risk Register'!$O$6="1-2",'Risk Register'!$A$6,""),IF('Risk Register'!$O$7="1-2",'Risk Register'!$A$7,""),IF('Risk Register'!$O$8="1-2",'Risk Register'!$A$8,""),IF('Risk Register'!$O$9="1-2",'Risk Register'!$A$9,""),IF('Risk Register'!$O$10="1-2",'Risk Register'!$A$10,""),IF('Risk Register'!$O$11="1-2",'Risk Register'!$A$11,""),IF('Risk Register'!$O$12="1-2",'Risk Register'!$A$12,""),IF('Risk Register'!$O$13="1-2",'Risk Register'!$A$13,""),IF('Risk Register'!$O$14="1-2",'Risk Register'!$A$14,""),IF('Risk Register'!$O$15="1-2",'Risk Register'!$A$15,""),IF('Risk Register'!$O$16="1-2",'Risk Register'!$A$16,""),IF('Risk Register'!$O$17="1-2",'Risk Register'!$A$17,""),IF('Risk Register'!$O$18="1-2",'Risk Register'!$A$18,""),IF('Risk Register'!$O$19="1-2",'Risk Register'!$A$19,""))</f>
        <v/>
      </c>
      <c r="E9" s="11" t="str">
        <f>TEXTJOIN(", ",TRUE(),IF('Risk Register'!$O$5="1-3",'Risk Register'!$A$5,""),IF('Risk Register'!$O$6="1-3",'Risk Register'!$A$6,""),IF('Risk Register'!$O$7="1-3",'Risk Register'!$A$7,""),IF('Risk Register'!$O$8="1-3",'Risk Register'!$A$8,""),IF('Risk Register'!$O$9="1-3",'Risk Register'!$A$9,""),IF('Risk Register'!$O$10="1-3",'Risk Register'!$A$10,""),IF('Risk Register'!$O$11="1-3",'Risk Register'!$A$11,""),IF('Risk Register'!$O$12="1-3",'Risk Register'!$A$12,""),IF('Risk Register'!$O$13="1-3",'Risk Register'!$A$13,""),IF('Risk Register'!$O$14="1-3",'Risk Register'!$A$14,""),IF('Risk Register'!$O$15="1-3",'Risk Register'!$A$15,""),IF('Risk Register'!$O$16="1-3",'Risk Register'!$A$16,""),IF('Risk Register'!$O$17="1-3",'Risk Register'!$A$17,""),IF('Risk Register'!$O$18="1-3",'Risk Register'!$A$18,""),IF('Risk Register'!$O$19="1-3",'Risk Register'!$A$19,""))</f>
        <v/>
      </c>
      <c r="F9" s="11" t="str">
        <f>TEXTJOIN(", ",TRUE(),IF('Risk Register'!$O$5="1-4",'Risk Register'!$A$5,""),IF('Risk Register'!$O$6="1-4",'Risk Register'!$A$6,""),IF('Risk Register'!$O$7="1-4",'Risk Register'!$A$7,""),IF('Risk Register'!$O$8="1-4",'Risk Register'!$A$8,""),IF('Risk Register'!$O$9="1-4",'Risk Register'!$A$9,""),IF('Risk Register'!$O$10="1-4",'Risk Register'!$A$10,""),IF('Risk Register'!$O$11="1-4",'Risk Register'!$A$11,""),IF('Risk Register'!$O$12="1-4",'Risk Register'!$A$12,""),IF('Risk Register'!$O$13="1-4",'Risk Register'!$A$13,""),IF('Risk Register'!$O$14="1-4",'Risk Register'!$A$14,""),IF('Risk Register'!$O$15="1-4",'Risk Register'!$A$15,""),IF('Risk Register'!$O$16="1-4",'Risk Register'!$A$16,""),IF('Risk Register'!$O$17="1-4",'Risk Register'!$A$17,""),IF('Risk Register'!$O$18="1-4",'Risk Register'!$A$18,""),IF('Risk Register'!$O$19="1-4",'Risk Register'!$A$19,""))</f>
        <v/>
      </c>
      <c r="G9" s="11" t="str">
        <f>TEXTJOIN(", ",TRUE(),IF('Risk Register'!$O$5="1-5",'Risk Register'!$A$5,""),IF('Risk Register'!$O$6="1-5",'Risk Register'!$A$6,""),IF('Risk Register'!$O$7="1-5",'Risk Register'!$A$7,""),IF('Risk Register'!$O$8="1-5",'Risk Register'!$A$8,""),IF('Risk Register'!$O$9="1-5",'Risk Register'!$A$9,""),IF('Risk Register'!$O$10="1-5",'Risk Register'!$A$10,""),IF('Risk Register'!$O$11="1-5",'Risk Register'!$A$11,""),IF('Risk Register'!$O$12="1-5",'Risk Register'!$A$12,""),IF('Risk Register'!$O$13="1-5",'Risk Register'!$A$13,""),IF('Risk Register'!$O$14="1-5",'Risk Register'!$A$14,""),IF('Risk Register'!$O$15="1-5",'Risk Register'!$A$15,""),IF('Risk Register'!$O$16="1-5",'Risk Register'!$A$16,""),IF('Risk Register'!$O$17="1-5",'Risk Register'!$A$17,""),IF('Risk Register'!$O$18="1-5",'Risk Register'!$A$18,""),IF('Risk Register'!$O$19="1-5",'Risk Register'!$A$19,""))</f>
        <v/>
      </c>
    </row>
    <row r="10">
      <c r="C10" s="10">
        <v>1.0</v>
      </c>
      <c r="D10" s="10">
        <v>2.0</v>
      </c>
      <c r="E10" s="10">
        <v>3.0</v>
      </c>
      <c r="F10" s="10">
        <v>4.0</v>
      </c>
      <c r="G10" s="10">
        <v>5.0</v>
      </c>
    </row>
    <row r="11">
      <c r="C11" s="16" t="s">
        <v>65</v>
      </c>
    </row>
    <row r="15">
      <c r="A15" s="3" t="s">
        <v>66</v>
      </c>
    </row>
    <row r="16" ht="45.75" customHeight="1">
      <c r="B16" s="10">
        <v>5.0</v>
      </c>
      <c r="C16" s="11" t="str">
        <f>TEXTJOIN(", ",TRUE(),IF('Risk Register'!$P$5="5-1",'Risk Register'!$A$5,""),IF('Risk Register'!$P$6="5-1",'Risk Register'!$A$6,""),IF('Risk Register'!$P$7="5-1",'Risk Register'!$A$7,""),IF('Risk Register'!$P$8="5-1",'Risk Register'!$A$8,""),IF('Risk Register'!$P$9="5-1",'Risk Register'!$A$9,""),IF('Risk Register'!$P$10="5-1",'Risk Register'!$A$10,""),IF('Risk Register'!$P$11="5-1",'Risk Register'!$A$11,""),IF('Risk Register'!$P$12="5-1",'Risk Register'!$A$12,""),IF('Risk Register'!$P$13="5-1",'Risk Register'!$A$13,""),IF('Risk Register'!$P$14="5-1",'Risk Register'!$A$14,""),IF('Risk Register'!$P$15="5-1",'Risk Register'!$A$15,""),IF('Risk Register'!$P$16="5-1",'Risk Register'!$A$16,""),IF('Risk Register'!$P$17="5-1",'Risk Register'!$A$17,""),IF('Risk Register'!$P$18="5-1",'Risk Register'!$A$18,""),IF('Risk Register'!$P$19="5-1",'Risk Register'!$A$19,""))</f>
        <v/>
      </c>
      <c r="D16" s="12" t="str">
        <f>TEXTJOIN(", ",TRUE(),IF('Risk Register'!$P$5="5-2",'Risk Register'!$A$5,""),IF('Risk Register'!$P$6="5-2",'Risk Register'!$A$6,""),IF('Risk Register'!$P$7="5-2",'Risk Register'!$A$7,""),IF('Risk Register'!$P$8="5-2",'Risk Register'!$A$8,""),IF('Risk Register'!$P$9="5-2",'Risk Register'!$A$9,""),IF('Risk Register'!$P$10="5-2",'Risk Register'!$A$10,""),IF('Risk Register'!$P$11="5-2",'Risk Register'!$A$11,""),IF('Risk Register'!$P$12="5-2",'Risk Register'!$A$12,""),IF('Risk Register'!$P$13="5-2",'Risk Register'!$A$13,""),IF('Risk Register'!$P$14="5-2",'Risk Register'!$A$14,""),IF('Risk Register'!$P$15="5-2",'Risk Register'!$A$15,""),IF('Risk Register'!$P$16="5-2",'Risk Register'!$A$16,""),IF('Risk Register'!$P$17="5-2",'Risk Register'!$A$17,""),IF('Risk Register'!$P$18="5-2",'Risk Register'!$A$18,""),IF('Risk Register'!$P$19="5-2",'Risk Register'!$A$19,""))</f>
        <v/>
      </c>
      <c r="E16" s="13" t="str">
        <f>TEXTJOIN(", ",TRUE(),IF('Risk Register'!$P$5="5-3",'Risk Register'!$A$5,""),IF('Risk Register'!$P$6="5-3",'Risk Register'!$A$6,""),IF('Risk Register'!$P$7="5-3",'Risk Register'!$A$7,""),IF('Risk Register'!$P$8="5-3",'Risk Register'!$A$8,""),IF('Risk Register'!$P$9="5-3",'Risk Register'!$A$9,""),IF('Risk Register'!$P$10="5-3",'Risk Register'!$A$10,""),IF('Risk Register'!$P$11="5-3",'Risk Register'!$A$11,""),IF('Risk Register'!$P$12="5-3",'Risk Register'!$A$12,""),IF('Risk Register'!$P$13="5-3",'Risk Register'!$A$13,""),IF('Risk Register'!$P$14="5-3",'Risk Register'!$A$14,""),IF('Risk Register'!$P$15="5-3",'Risk Register'!$A$15,""),IF('Risk Register'!$P$16="5-3",'Risk Register'!$A$16,""),IF('Risk Register'!$P$17="5-3",'Risk Register'!$A$17,""),IF('Risk Register'!$P$18="5-3",'Risk Register'!$A$18,""),IF('Risk Register'!$P$19="5-3",'Risk Register'!$A$19,""))</f>
        <v/>
      </c>
      <c r="F16" s="13" t="str">
        <f>TEXTJOIN(", ",TRUE(),IF('Risk Register'!$P$5="5-4",'Risk Register'!$A$5,""),IF('Risk Register'!$P$6="5-4",'Risk Register'!$A$6,""),IF('Risk Register'!$P$7="5-4",'Risk Register'!$A$7,""),IF('Risk Register'!$P$8="5-4",'Risk Register'!$A$8,""),IF('Risk Register'!$P$9="5-4",'Risk Register'!$A$9,""),IF('Risk Register'!$P$10="5-4",'Risk Register'!$A$10,""),IF('Risk Register'!$P$11="5-4",'Risk Register'!$A$11,""),IF('Risk Register'!$P$12="5-4",'Risk Register'!$A$12,""),IF('Risk Register'!$P$13="5-4",'Risk Register'!$A$13,""),IF('Risk Register'!$P$14="5-4",'Risk Register'!$A$14,""),IF('Risk Register'!$P$15="5-4",'Risk Register'!$A$15,""),IF('Risk Register'!$P$16="5-4",'Risk Register'!$A$16,""),IF('Risk Register'!$P$17="5-4",'Risk Register'!$A$17,""),IF('Risk Register'!$P$18="5-4",'Risk Register'!$A$18,""),IF('Risk Register'!$P$19="5-4",'Risk Register'!$A$19,""))</f>
        <v/>
      </c>
      <c r="G16" s="13" t="str">
        <f>TEXTJOIN(", ",TRUE(),IF('Risk Register'!$P$5="5-5",'Risk Register'!$A$5,""),IF('Risk Register'!$P$6="5-5",'Risk Register'!$A$6,""),IF('Risk Register'!$P$7="5-5",'Risk Register'!$A$7,""),IF('Risk Register'!$P$8="5-5",'Risk Register'!$A$8,""),IF('Risk Register'!$P$9="5-5",'Risk Register'!$A$9,""),IF('Risk Register'!$P$10="5-5",'Risk Register'!$A$10,""),IF('Risk Register'!$P$11="5-5",'Risk Register'!$A$11,""),IF('Risk Register'!$P$12="5-5",'Risk Register'!$A$12,""),IF('Risk Register'!$P$13="5-5",'Risk Register'!$A$13,""),IF('Risk Register'!$P$14="5-5",'Risk Register'!$A$14,""),IF('Risk Register'!$P$15="5-5",'Risk Register'!$A$15,""),IF('Risk Register'!$P$16="5-5",'Risk Register'!$A$16,""),IF('Risk Register'!$P$17="5-5",'Risk Register'!$A$17,""),IF('Risk Register'!$P$18="5-5",'Risk Register'!$A$18,""),IF('Risk Register'!$P$19="5-5",'Risk Register'!$A$19,""))</f>
        <v/>
      </c>
    </row>
    <row r="17" ht="45.75" customHeight="1">
      <c r="B17" s="10">
        <v>4.0</v>
      </c>
      <c r="C17" s="11" t="str">
        <f>TEXTJOIN(", ",TRUE(),IF('Risk Register'!$P$5="4-1",'Risk Register'!$A$5,""),IF('Risk Register'!$P$6="4-1",'Risk Register'!$A$6,""),IF('Risk Register'!$P$7="4-1",'Risk Register'!$A$7,""),IF('Risk Register'!$P$8="4-1",'Risk Register'!$A$8,""),IF('Risk Register'!$P$9="4-1",'Risk Register'!$A$9,""),IF('Risk Register'!$P$10="4-1",'Risk Register'!$A$10,""),IF('Risk Register'!$P$11="4-1",'Risk Register'!$A$11,""),IF('Risk Register'!$P$12="4-1",'Risk Register'!$A$12,""),IF('Risk Register'!$P$13="4-1",'Risk Register'!$A$13,""),IF('Risk Register'!$P$14="4-1",'Risk Register'!$A$14,""),IF('Risk Register'!$P$15="4-1",'Risk Register'!$A$15,""),IF('Risk Register'!$P$16="4-1",'Risk Register'!$A$16,""),IF('Risk Register'!$P$17="4-1",'Risk Register'!$A$17,""),IF('Risk Register'!$P$18="4-1",'Risk Register'!$A$18,""),IF('Risk Register'!$P$19="4-1",'Risk Register'!$A$19,""))</f>
        <v/>
      </c>
      <c r="D17" s="12" t="str">
        <f>TEXTJOIN(", ",TRUE(),IF('Risk Register'!$P$5="4-2",'Risk Register'!$A$5,""),IF('Risk Register'!$P$6="4-2",'Risk Register'!$A$6,""),IF('Risk Register'!$P$7="4-2",'Risk Register'!$A$7,""),IF('Risk Register'!$P$8="4-2",'Risk Register'!$A$8,""),IF('Risk Register'!$P$9="4-2",'Risk Register'!$A$9,""),IF('Risk Register'!$P$10="4-2",'Risk Register'!$A$10,""),IF('Risk Register'!$P$11="4-2",'Risk Register'!$A$11,""),IF('Risk Register'!$P$12="4-2",'Risk Register'!$A$12,""),IF('Risk Register'!$P$13="4-2",'Risk Register'!$A$13,""),IF('Risk Register'!$P$14="4-2",'Risk Register'!$A$14,""),IF('Risk Register'!$P$15="4-2",'Risk Register'!$A$15,""),IF('Risk Register'!$P$16="4-2",'Risk Register'!$A$16,""),IF('Risk Register'!$P$17="4-2",'Risk Register'!$A$17,""),IF('Risk Register'!$P$18="4-2",'Risk Register'!$A$18,""),IF('Risk Register'!$P$19="4-2",'Risk Register'!$A$19,""))</f>
        <v/>
      </c>
      <c r="E17" s="12" t="str">
        <f>TEXTJOIN(", ",TRUE(),IF('Risk Register'!$P$5="4-3",'Risk Register'!$A$5,""),IF('Risk Register'!$P$6="4-3",'Risk Register'!$A$6,""),IF('Risk Register'!$P$7="4-3",'Risk Register'!$A$7,""),IF('Risk Register'!$P$8="4-3",'Risk Register'!$A$8,""),IF('Risk Register'!$P$9="4-3",'Risk Register'!$A$9,""),IF('Risk Register'!$P$10="4-3",'Risk Register'!$A$10,""),IF('Risk Register'!$P$11="4-3",'Risk Register'!$A$11,""),IF('Risk Register'!$P$12="4-3",'Risk Register'!$A$12,""),IF('Risk Register'!$P$13="4-3",'Risk Register'!$A$13,""),IF('Risk Register'!$P$14="4-3",'Risk Register'!$A$14,""),IF('Risk Register'!$P$15="4-3",'Risk Register'!$A$15,""),IF('Risk Register'!$P$16="4-3",'Risk Register'!$A$16,""),IF('Risk Register'!$P$17="4-3",'Risk Register'!$A$17,""),IF('Risk Register'!$P$18="4-3",'Risk Register'!$A$18,""),IF('Risk Register'!$P$19="4-3",'Risk Register'!$A$19,""))</f>
        <v/>
      </c>
      <c r="F17" s="13" t="str">
        <f>TEXTJOIN(", ",TRUE(),IF('Risk Register'!$P$5="4-4",'Risk Register'!$A$5,""),IF('Risk Register'!$P$6="4-4",'Risk Register'!$A$6,""),IF('Risk Register'!$P$7="4-4",'Risk Register'!$A$7,""),IF('Risk Register'!$P$8="4-4",'Risk Register'!$A$8,""),IF('Risk Register'!$P$9="4-4",'Risk Register'!$A$9,""),IF('Risk Register'!$P$10="4-4",'Risk Register'!$A$10,""),IF('Risk Register'!$P$11="4-4",'Risk Register'!$A$11,""),IF('Risk Register'!$P$12="4-4",'Risk Register'!$A$12,""),IF('Risk Register'!$P$13="4-4",'Risk Register'!$A$13,""),IF('Risk Register'!$P$14="4-4",'Risk Register'!$A$14,""),IF('Risk Register'!$P$15="4-4",'Risk Register'!$A$15,""),IF('Risk Register'!$P$16="4-4",'Risk Register'!$A$16,""),IF('Risk Register'!$P$17="4-4",'Risk Register'!$A$17,""),IF('Risk Register'!$P$18="4-4",'Risk Register'!$A$18,""),IF('Risk Register'!$P$19="4-4",'Risk Register'!$A$19,""))</f>
        <v/>
      </c>
      <c r="G17" s="13" t="str">
        <f>TEXTJOIN(", ",TRUE(),IF('Risk Register'!$P$5="4-5",'Risk Register'!$A$5,""),IF('Risk Register'!$P$6="4-5",'Risk Register'!$A$6,""),IF('Risk Register'!$P$7="4-5",'Risk Register'!$A$7,""),IF('Risk Register'!$P$8="4-5",'Risk Register'!$A$8,""),IF('Risk Register'!$P$9="4-5",'Risk Register'!$A$9,""),IF('Risk Register'!$P$10="4-5",'Risk Register'!$A$10,""),IF('Risk Register'!$P$11="4-5",'Risk Register'!$A$11,""),IF('Risk Register'!$P$12="4-5",'Risk Register'!$A$12,""),IF('Risk Register'!$P$13="4-5",'Risk Register'!$A$13,""),IF('Risk Register'!$P$14="4-5",'Risk Register'!$A$14,""),IF('Risk Register'!$P$15="4-5",'Risk Register'!$A$15,""),IF('Risk Register'!$P$16="4-5",'Risk Register'!$A$16,""),IF('Risk Register'!$P$17="4-5",'Risk Register'!$A$17,""),IF('Risk Register'!$P$18="4-5",'Risk Register'!$A$18,""),IF('Risk Register'!$P$19="4-5",'Risk Register'!$A$19,""))</f>
        <v/>
      </c>
    </row>
    <row r="18" ht="45.75" customHeight="1">
      <c r="A18" s="16" t="s">
        <v>62</v>
      </c>
      <c r="B18" s="10">
        <v>3.0</v>
      </c>
      <c r="C18" s="11" t="str">
        <f>TEXTJOIN(", ",TRUE(),IF('Risk Register'!$P$5="3-1",'Risk Register'!$A$5,""),IF('Risk Register'!$P$6="3-1",'Risk Register'!$A$6,""),IF('Risk Register'!$P$7="3-1",'Risk Register'!$A$7,""),IF('Risk Register'!$P$8="3-1",'Risk Register'!$A$8,""),IF('Risk Register'!$P$9="3-1",'Risk Register'!$A$9,""),IF('Risk Register'!$P$10="3-1",'Risk Register'!$A$10,""),IF('Risk Register'!$P$11="3-1",'Risk Register'!$A$11,""),IF('Risk Register'!$P$12="3-1",'Risk Register'!$A$12,""),IF('Risk Register'!$P$13="3-1",'Risk Register'!$A$13,""),IF('Risk Register'!$P$14="3-1",'Risk Register'!$A$14,""),IF('Risk Register'!$P$15="3-1",'Risk Register'!$A$15,""),IF('Risk Register'!$P$16="3-1",'Risk Register'!$A$16,""),IF('Risk Register'!$P$17="3-1",'Risk Register'!$A$17,""),IF('Risk Register'!$P$18="3-1",'Risk Register'!$A$18,""),IF('Risk Register'!$P$19="3-1",'Risk Register'!$A$19,""))</f>
        <v/>
      </c>
      <c r="D18" s="11" t="str">
        <f>TEXTJOIN(", ",TRUE(),IF('Risk Register'!$P$5="3-2",'Risk Register'!$A$5,""),IF('Risk Register'!$P$6="3-2",'Risk Register'!$A$6,""),IF('Risk Register'!$P$7="3-2",'Risk Register'!$A$7,""),IF('Risk Register'!$P$8="3-2",'Risk Register'!$A$8,""),IF('Risk Register'!$P$9="3-2",'Risk Register'!$A$9,""),IF('Risk Register'!$P$10="3-2",'Risk Register'!$A$10,""),IF('Risk Register'!$P$11="3-2",'Risk Register'!$A$11,""),IF('Risk Register'!$P$12="3-2",'Risk Register'!$A$12,""),IF('Risk Register'!$P$13="3-2",'Risk Register'!$A$13,""),IF('Risk Register'!$P$14="3-2",'Risk Register'!$A$14,""),IF('Risk Register'!$P$15="3-2",'Risk Register'!$A$15,""),IF('Risk Register'!$P$16="3-2",'Risk Register'!$A$16,""),IF('Risk Register'!$P$17="3-2",'Risk Register'!$A$17,""),IF('Risk Register'!$P$18="3-2",'Risk Register'!$A$18,""),IF('Risk Register'!$P$19="3-2",'Risk Register'!$A$19,""))</f>
        <v/>
      </c>
      <c r="E18" s="12" t="str">
        <f>TEXTJOIN(", ",TRUE(),IF('Risk Register'!$P$5="3-3",'Risk Register'!$A$5,""),IF('Risk Register'!$P$6="3-3",'Risk Register'!$A$6,""),IF('Risk Register'!$P$7="3-3",'Risk Register'!$A$7,""),IF('Risk Register'!$P$8="3-3",'Risk Register'!$A$8,""),IF('Risk Register'!$P$9="3-3",'Risk Register'!$A$9,""),IF('Risk Register'!$P$10="3-3",'Risk Register'!$A$10,""),IF('Risk Register'!$P$11="3-3",'Risk Register'!$A$11,""),IF('Risk Register'!$P$12="3-3",'Risk Register'!$A$12,""),IF('Risk Register'!$P$13="3-3",'Risk Register'!$A$13,""),IF('Risk Register'!$P$14="3-3",'Risk Register'!$A$14,""),IF('Risk Register'!$P$15="3-3",'Risk Register'!$A$15,""),IF('Risk Register'!$P$16="3-3",'Risk Register'!$A$16,""),IF('Risk Register'!$P$17="3-3",'Risk Register'!$A$17,""),IF('Risk Register'!$P$18="3-3",'Risk Register'!$A$18,""),IF('Risk Register'!$P$19="3-3",'Risk Register'!$A$19,""))</f>
        <v/>
      </c>
      <c r="F18" s="12" t="str">
        <f>TEXTJOIN(", ",TRUE(),IF('Risk Register'!$P$5="3-4",'Risk Register'!$A$5,""),IF('Risk Register'!$P$6="3-4",'Risk Register'!$A$6,""),IF('Risk Register'!$P$7="3-4",'Risk Register'!$A$7,""),IF('Risk Register'!$P$8="3-4",'Risk Register'!$A$8,""),IF('Risk Register'!$P$9="3-4",'Risk Register'!$A$9,""),IF('Risk Register'!$P$10="3-4",'Risk Register'!$A$10,""),IF('Risk Register'!$P$11="3-4",'Risk Register'!$A$11,""),IF('Risk Register'!$P$12="3-4",'Risk Register'!$A$12,""),IF('Risk Register'!$P$13="3-4",'Risk Register'!$A$13,""),IF('Risk Register'!$P$14="3-4",'Risk Register'!$A$14,""),IF('Risk Register'!$P$15="3-4",'Risk Register'!$A$15,""),IF('Risk Register'!$P$16="3-4",'Risk Register'!$A$16,""),IF('Risk Register'!$P$17="3-4",'Risk Register'!$A$17,""),IF('Risk Register'!$P$18="3-4",'Risk Register'!$A$18,""),IF('Risk Register'!$P$19="3-4",'Risk Register'!$A$19,""))</f>
        <v/>
      </c>
      <c r="G18" s="13" t="str">
        <f>TEXTJOIN(", ",TRUE(),IF('Risk Register'!$P$5="3-5",'Risk Register'!$A$5,""),IF('Risk Register'!$P$6="3-5",'Risk Register'!$A$6,""),IF('Risk Register'!$P$7="3-5",'Risk Register'!$A$7,""),IF('Risk Register'!$P$8="3-5",'Risk Register'!$A$8,""),IF('Risk Register'!$P$9="3-5",'Risk Register'!$A$9,""),IF('Risk Register'!$P$10="3-5",'Risk Register'!$A$10,""),IF('Risk Register'!$P$11="3-5",'Risk Register'!$A$11,""),IF('Risk Register'!$P$12="3-5",'Risk Register'!$A$12,""),IF('Risk Register'!$P$13="3-5",'Risk Register'!$A$13,""),IF('Risk Register'!$P$14="3-5",'Risk Register'!$A$14,""),IF('Risk Register'!$P$15="3-5",'Risk Register'!$A$15,""),IF('Risk Register'!$P$16="3-5",'Risk Register'!$A$16,""),IF('Risk Register'!$P$17="3-5",'Risk Register'!$A$17,""),IF('Risk Register'!$P$18="3-5",'Risk Register'!$A$18,""),IF('Risk Register'!$P$19="3-5",'Risk Register'!$A$19,""))</f>
        <v/>
      </c>
    </row>
    <row r="19" ht="45.75" customHeight="1">
      <c r="B19" s="10">
        <v>2.0</v>
      </c>
      <c r="C19" s="11" t="str">
        <f>TEXTJOIN(", ",TRUE(),IF('Risk Register'!$P$5="2-1",'Risk Register'!$A$5,""),IF('Risk Register'!$P$6="2-1",'Risk Register'!$A$6,""),IF('Risk Register'!$P$7="2-1",'Risk Register'!$A$7,""),IF('Risk Register'!$P$8="2-1",'Risk Register'!$A$8,""),IF('Risk Register'!$P$9="2-1",'Risk Register'!$A$9,""),IF('Risk Register'!$P$10="2-1",'Risk Register'!$A$10,""),IF('Risk Register'!$P$11="2-1",'Risk Register'!$A$11,""),IF('Risk Register'!$P$12="2-1",'Risk Register'!$A$12,""),IF('Risk Register'!$P$13="2-1",'Risk Register'!$A$13,""),IF('Risk Register'!$P$14="2-1",'Risk Register'!$A$14,""),IF('Risk Register'!$P$15="2-1",'Risk Register'!$A$15,""),IF('Risk Register'!$P$16="2-1",'Risk Register'!$A$16,""),IF('Risk Register'!$P$17="2-1",'Risk Register'!$A$17,""),IF('Risk Register'!$P$18="2-1",'Risk Register'!$A$18,""),IF('Risk Register'!$P$19="2-1",'Risk Register'!$A$19,""))</f>
        <v>R-12</v>
      </c>
      <c r="D19" s="11" t="str">
        <f>TEXTJOIN(", ",TRUE(),IF('Risk Register'!$P$5="2-2",'Risk Register'!$A$5,""),IF('Risk Register'!$P$6="2-2",'Risk Register'!$A$6,""),IF('Risk Register'!$P$7="2-2",'Risk Register'!$A$7,""),IF('Risk Register'!$P$8="2-2",'Risk Register'!$A$8,""),IF('Risk Register'!$P$9="2-2",'Risk Register'!$A$9,""),IF('Risk Register'!$P$10="2-2",'Risk Register'!$A$10,""),IF('Risk Register'!$P$11="2-2",'Risk Register'!$A$11,""),IF('Risk Register'!$P$12="2-2",'Risk Register'!$A$12,""),IF('Risk Register'!$P$13="2-2",'Risk Register'!$A$13,""),IF('Risk Register'!$P$14="2-2",'Risk Register'!$A$14,""),IF('Risk Register'!$P$15="2-2",'Risk Register'!$A$15,""),IF('Risk Register'!$P$16="2-2",'Risk Register'!$A$16,""),IF('Risk Register'!$P$17="2-2",'Risk Register'!$A$17,""),IF('Risk Register'!$P$18="2-2",'Risk Register'!$A$18,""),IF('Risk Register'!$P$19="2-2",'Risk Register'!$A$19,""))</f>
        <v>R-04, R-07</v>
      </c>
      <c r="E19" s="11" t="str">
        <f>TEXTJOIN(", ",TRUE(),IF('Risk Register'!$P$5="2-3",'Risk Register'!$A$5,""),IF('Risk Register'!$P$6="2-3",'Risk Register'!$A$6,""),IF('Risk Register'!$P$7="2-3",'Risk Register'!$A$7,""),IF('Risk Register'!$P$8="2-3",'Risk Register'!$A$8,""),IF('Risk Register'!$P$9="2-3",'Risk Register'!$A$9,""),IF('Risk Register'!$P$10="2-3",'Risk Register'!$A$10,""),IF('Risk Register'!$P$11="2-3",'Risk Register'!$A$11,""),IF('Risk Register'!$P$12="2-3",'Risk Register'!$A$12,""),IF('Risk Register'!$P$13="2-3",'Risk Register'!$A$13,""),IF('Risk Register'!$P$14="2-3",'Risk Register'!$A$14,""),IF('Risk Register'!$P$15="2-3",'Risk Register'!$A$15,""),IF('Risk Register'!$P$16="2-3",'Risk Register'!$A$16,""),IF('Risk Register'!$P$17="2-3",'Risk Register'!$A$17,""),IF('Risk Register'!$P$18="2-3",'Risk Register'!$A$18,""),IF('Risk Register'!$P$19="2-3",'Risk Register'!$A$19,""))</f>
        <v>R-02, R-05, R-08, R-11</v>
      </c>
      <c r="F19" s="12" t="str">
        <f>TEXTJOIN(", ",TRUE(),IF('Risk Register'!$P$5="2-4",'Risk Register'!$A$5,""),IF('Risk Register'!$P$6="2-4",'Risk Register'!$A$6,""),IF('Risk Register'!$P$7="2-4",'Risk Register'!$A$7,""),IF('Risk Register'!$P$8="2-4",'Risk Register'!$A$8,""),IF('Risk Register'!$P$9="2-4",'Risk Register'!$A$9,""),IF('Risk Register'!$P$10="2-4",'Risk Register'!$A$10,""),IF('Risk Register'!$P$11="2-4",'Risk Register'!$A$11,""),IF('Risk Register'!$P$12="2-4",'Risk Register'!$A$12,""),IF('Risk Register'!$P$13="2-4",'Risk Register'!$A$13,""),IF('Risk Register'!$P$14="2-4",'Risk Register'!$A$14,""),IF('Risk Register'!$P$15="2-4",'Risk Register'!$A$15,""),IF('Risk Register'!$P$16="2-4",'Risk Register'!$A$16,""),IF('Risk Register'!$P$17="2-4",'Risk Register'!$A$17,""),IF('Risk Register'!$P$18="2-4",'Risk Register'!$A$18,""),IF('Risk Register'!$P$19="2-4",'Risk Register'!$A$19,""))</f>
        <v/>
      </c>
      <c r="G19" s="12" t="str">
        <f>TEXTJOIN(", ",TRUE(),IF('Risk Register'!$P$5="2-5",'Risk Register'!$A$5,""),IF('Risk Register'!$P$6="2-5",'Risk Register'!$A$6,""),IF('Risk Register'!$P$7="2-5",'Risk Register'!$A$7,""),IF('Risk Register'!$P$8="2-5",'Risk Register'!$A$8,""),IF('Risk Register'!$P$9="2-5",'Risk Register'!$A$9,""),IF('Risk Register'!$P$10="2-5",'Risk Register'!$A$10,""),IF('Risk Register'!$P$11="2-5",'Risk Register'!$A$11,""),IF('Risk Register'!$P$12="2-5",'Risk Register'!$A$12,""),IF('Risk Register'!$P$13="2-5",'Risk Register'!$A$13,""),IF('Risk Register'!$P$14="2-5",'Risk Register'!$A$14,""),IF('Risk Register'!$P$15="2-5",'Risk Register'!$A$15,""),IF('Risk Register'!$P$16="2-5",'Risk Register'!$A$16,""),IF('Risk Register'!$P$17="2-5",'Risk Register'!$A$17,""),IF('Risk Register'!$P$18="2-5",'Risk Register'!$A$18,""),IF('Risk Register'!$P$19="2-5",'Risk Register'!$A$19,""))</f>
        <v>R-01</v>
      </c>
    </row>
    <row r="20" ht="45.75" customHeight="1">
      <c r="B20" s="10">
        <v>1.0</v>
      </c>
      <c r="C20" s="11" t="str">
        <f>TEXTJOIN(", ",TRUE(),IF('Risk Register'!$P$5="1-1",'Risk Register'!$A$5,""),IF('Risk Register'!$P$6="1-1",'Risk Register'!$A$6,""),IF('Risk Register'!$P$7="1-1",'Risk Register'!$A$7,""),IF('Risk Register'!$P$8="1-1",'Risk Register'!$A$8,""),IF('Risk Register'!$P$9="1-1",'Risk Register'!$A$9,""),IF('Risk Register'!$P$10="1-1",'Risk Register'!$A$10,""),IF('Risk Register'!$P$11="1-1",'Risk Register'!$A$11,""),IF('Risk Register'!$P$12="1-1",'Risk Register'!$A$12,""),IF('Risk Register'!$P$13="1-1",'Risk Register'!$A$13,""),IF('Risk Register'!$P$14="1-1",'Risk Register'!$A$14,""),IF('Risk Register'!$P$15="1-1",'Risk Register'!$A$15,""),IF('Risk Register'!$P$16="1-1",'Risk Register'!$A$16,""),IF('Risk Register'!$P$17="1-1",'Risk Register'!$A$17,""),IF('Risk Register'!$P$18="1-1",'Risk Register'!$A$18,""),IF('Risk Register'!$P$19="1-1",'Risk Register'!$A$19,""))</f>
        <v/>
      </c>
      <c r="D20" s="11" t="str">
        <f>TEXTJOIN(", ",TRUE(),IF('Risk Register'!$P$5="1-2",'Risk Register'!$A$5,""),IF('Risk Register'!$P$6="1-2",'Risk Register'!$A$6,""),IF('Risk Register'!$P$7="1-2",'Risk Register'!$A$7,""),IF('Risk Register'!$P$8="1-2",'Risk Register'!$A$8,""),IF('Risk Register'!$P$9="1-2",'Risk Register'!$A$9,""),IF('Risk Register'!$P$10="1-2",'Risk Register'!$A$10,""),IF('Risk Register'!$P$11="1-2",'Risk Register'!$A$11,""),IF('Risk Register'!$P$12="1-2",'Risk Register'!$A$12,""),IF('Risk Register'!$P$13="1-2",'Risk Register'!$A$13,""),IF('Risk Register'!$P$14="1-2",'Risk Register'!$A$14,""),IF('Risk Register'!$P$15="1-2",'Risk Register'!$A$15,""),IF('Risk Register'!$P$16="1-2",'Risk Register'!$A$16,""),IF('Risk Register'!$P$17="1-2",'Risk Register'!$A$17,""),IF('Risk Register'!$P$18="1-2",'Risk Register'!$A$18,""),IF('Risk Register'!$P$19="1-2",'Risk Register'!$A$19,""))</f>
        <v>R-10</v>
      </c>
      <c r="E20" s="11" t="str">
        <f>TEXTJOIN(", ",TRUE(),IF('Risk Register'!$P$5="1-3",'Risk Register'!$A$5,""),IF('Risk Register'!$P$6="1-3",'Risk Register'!$A$6,""),IF('Risk Register'!$P$7="1-3",'Risk Register'!$A$7,""),IF('Risk Register'!$P$8="1-3",'Risk Register'!$A$8,""),IF('Risk Register'!$P$9="1-3",'Risk Register'!$A$9,""),IF('Risk Register'!$P$10="1-3",'Risk Register'!$A$10,""),IF('Risk Register'!$P$11="1-3",'Risk Register'!$A$11,""),IF('Risk Register'!$P$12="1-3",'Risk Register'!$A$12,""),IF('Risk Register'!$P$13="1-3",'Risk Register'!$A$13,""),IF('Risk Register'!$P$14="1-3",'Risk Register'!$A$14,""),IF('Risk Register'!$P$15="1-3",'Risk Register'!$A$15,""),IF('Risk Register'!$P$16="1-3",'Risk Register'!$A$16,""),IF('Risk Register'!$P$17="1-3",'Risk Register'!$A$17,""),IF('Risk Register'!$P$18="1-3",'Risk Register'!$A$18,""),IF('Risk Register'!$P$19="1-3",'Risk Register'!$A$19,""))</f>
        <v>R-09</v>
      </c>
      <c r="F20" s="11" t="str">
        <f>TEXTJOIN(", ",TRUE(),IF('Risk Register'!$P$5="1-4",'Risk Register'!$A$5,""),IF('Risk Register'!$P$6="1-4",'Risk Register'!$A$6,""),IF('Risk Register'!$P$7="1-4",'Risk Register'!$A$7,""),IF('Risk Register'!$P$8="1-4",'Risk Register'!$A$8,""),IF('Risk Register'!$P$9="1-4",'Risk Register'!$A$9,""),IF('Risk Register'!$P$10="1-4",'Risk Register'!$A$10,""),IF('Risk Register'!$P$11="1-4",'Risk Register'!$A$11,""),IF('Risk Register'!$P$12="1-4",'Risk Register'!$A$12,""),IF('Risk Register'!$P$13="1-4",'Risk Register'!$A$13,""),IF('Risk Register'!$P$14="1-4",'Risk Register'!$A$14,""),IF('Risk Register'!$P$15="1-4",'Risk Register'!$A$15,""),IF('Risk Register'!$P$16="1-4",'Risk Register'!$A$16,""),IF('Risk Register'!$P$17="1-4",'Risk Register'!$A$17,""),IF('Risk Register'!$P$18="1-4",'Risk Register'!$A$18,""),IF('Risk Register'!$P$19="1-4",'Risk Register'!$A$19,""))</f>
        <v>R-03, R-06</v>
      </c>
      <c r="G20" s="11" t="str">
        <f>TEXTJOIN(", ",TRUE(),IF('Risk Register'!$P$5="1-5",'Risk Register'!$A$5,""),IF('Risk Register'!$P$6="1-5",'Risk Register'!$A$6,""),IF('Risk Register'!$P$7="1-5",'Risk Register'!$A$7,""),IF('Risk Register'!$P$8="1-5",'Risk Register'!$A$8,""),IF('Risk Register'!$P$9="1-5",'Risk Register'!$A$9,""),IF('Risk Register'!$P$10="1-5",'Risk Register'!$A$10,""),IF('Risk Register'!$P$11="1-5",'Risk Register'!$A$11,""),IF('Risk Register'!$P$12="1-5",'Risk Register'!$A$12,""),IF('Risk Register'!$P$13="1-5",'Risk Register'!$A$13,""),IF('Risk Register'!$P$14="1-5",'Risk Register'!$A$14,""),IF('Risk Register'!$P$15="1-5",'Risk Register'!$A$15,""),IF('Risk Register'!$P$16="1-5",'Risk Register'!$A$16,""),IF('Risk Register'!$P$17="1-5",'Risk Register'!$A$17,""),IF('Risk Register'!$P$18="1-5",'Risk Register'!$A$18,""),IF('Risk Register'!$P$19="1-5",'Risk Register'!$A$19,""))</f>
        <v/>
      </c>
    </row>
    <row r="21" ht="15.75" customHeight="1">
      <c r="C21" s="10">
        <v>1.0</v>
      </c>
      <c r="D21" s="10">
        <v>2.0</v>
      </c>
      <c r="E21" s="10">
        <v>3.0</v>
      </c>
      <c r="F21" s="10">
        <v>4.0</v>
      </c>
      <c r="G21" s="10">
        <v>5.0</v>
      </c>
    </row>
    <row r="22" ht="15.75" customHeight="1">
      <c r="C22" s="16" t="s">
        <v>65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2" width="12.0"/>
    <col customWidth="1" min="3" max="3" width="50.57"/>
    <col customWidth="1" min="4" max="4" width="11.0"/>
    <col customWidth="1" min="5" max="5" width="10.0"/>
    <col customWidth="1" min="6" max="6" width="9.0"/>
    <col customWidth="1" min="7" max="7" width="10.0"/>
    <col customWidth="1" min="8" max="8" width="42.0"/>
    <col customWidth="1" min="9" max="9" width="18.0"/>
    <col customWidth="1" min="10" max="10" width="12.0"/>
    <col customWidth="1" min="11" max="11" width="11.0"/>
    <col customWidth="1" min="12" max="12" width="9.0"/>
    <col customWidth="1" min="13" max="13" width="10.0"/>
    <col customWidth="1" min="14" max="14" width="13.0"/>
    <col customWidth="1" min="15" max="17" width="9.0"/>
    <col customWidth="1" min="18" max="26" width="8.71"/>
  </cols>
  <sheetData>
    <row r="1">
      <c r="A1" s="1" t="s">
        <v>67</v>
      </c>
    </row>
    <row r="2">
      <c r="A2" s="2" t="s">
        <v>68</v>
      </c>
    </row>
    <row r="3">
      <c r="O3" s="19" t="s">
        <v>69</v>
      </c>
    </row>
    <row r="4" ht="42.0" customHeight="1">
      <c r="A4" s="20" t="s">
        <v>70</v>
      </c>
      <c r="B4" s="20" t="s">
        <v>71</v>
      </c>
      <c r="C4" s="20" t="s">
        <v>72</v>
      </c>
      <c r="D4" s="20" t="s">
        <v>73</v>
      </c>
      <c r="E4" s="20" t="s">
        <v>74</v>
      </c>
      <c r="F4" s="20" t="s">
        <v>75</v>
      </c>
      <c r="G4" s="20" t="s">
        <v>76</v>
      </c>
      <c r="H4" s="20" t="s">
        <v>77</v>
      </c>
      <c r="I4" s="20" t="s">
        <v>78</v>
      </c>
      <c r="J4" s="20" t="s">
        <v>79</v>
      </c>
      <c r="K4" s="20" t="s">
        <v>80</v>
      </c>
      <c r="L4" s="20" t="s">
        <v>81</v>
      </c>
      <c r="M4" s="20" t="s">
        <v>82</v>
      </c>
      <c r="N4" s="20" t="s">
        <v>83</v>
      </c>
      <c r="O4" s="20" t="s">
        <v>84</v>
      </c>
      <c r="P4" s="20" t="s">
        <v>85</v>
      </c>
      <c r="Q4" s="20" t="s">
        <v>86</v>
      </c>
    </row>
    <row r="5" ht="60.0" customHeight="1">
      <c r="A5" s="21" t="s">
        <v>87</v>
      </c>
      <c r="B5" s="22" t="s">
        <v>88</v>
      </c>
      <c r="C5" s="23" t="s">
        <v>89</v>
      </c>
      <c r="D5" s="22">
        <v>4.0</v>
      </c>
      <c r="E5" s="22">
        <v>5.0</v>
      </c>
      <c r="F5" s="21">
        <f t="shared" ref="F5:F9" si="1">IF(AND(D5&lt;&gt;"",E5&lt;&gt;""),D5*E5,"")</f>
        <v>20</v>
      </c>
      <c r="G5" s="21" t="str">
        <f t="shared" ref="G5:G10" si="2">IF(F5="","",IF(F5&gt;=15,"High",IF(F5&gt;=8,"Medium","Low")))</f>
        <v>High</v>
      </c>
      <c r="H5" s="23" t="s">
        <v>90</v>
      </c>
      <c r="I5" s="22" t="s">
        <v>91</v>
      </c>
      <c r="J5" s="22">
        <v>2.0</v>
      </c>
      <c r="K5" s="22">
        <v>5.0</v>
      </c>
      <c r="L5" s="21">
        <f t="shared" ref="L5:L19" si="3">IF(AND(J5&lt;&gt;"",K5&lt;&gt;""),J5*K5,"")</f>
        <v>10</v>
      </c>
      <c r="M5" s="21" t="str">
        <f t="shared" ref="M5:M19" si="4">IF(L5="","",IF(L5&gt;=15,"High",IF(L5&gt;=8,"Medium","Low")))</f>
        <v>Medium</v>
      </c>
      <c r="N5" s="24">
        <v>46341.0</v>
      </c>
      <c r="O5" s="25" t="str">
        <f t="shared" ref="O5:O19" si="5">IF(F5="","",D5&amp;"-"&amp;E5)</f>
        <v>4-5</v>
      </c>
      <c r="P5" s="25" t="str">
        <f t="shared" ref="P5:P19" si="6">IF(L5="","",J5&amp;"-"&amp;K5)</f>
        <v>2-5</v>
      </c>
      <c r="Q5" s="25">
        <f t="shared" ref="Q5:Q19" si="7">IF(F5="","",F5+(1000-ROW())/10000)</f>
        <v>20.0995</v>
      </c>
    </row>
    <row r="6" ht="75.0" customHeight="1">
      <c r="A6" s="21" t="s">
        <v>92</v>
      </c>
      <c r="B6" s="22" t="s">
        <v>93</v>
      </c>
      <c r="C6" s="23" t="s">
        <v>94</v>
      </c>
      <c r="D6" s="22">
        <v>4.0</v>
      </c>
      <c r="E6" s="22">
        <v>4.0</v>
      </c>
      <c r="F6" s="21">
        <f t="shared" si="1"/>
        <v>16</v>
      </c>
      <c r="G6" s="21" t="str">
        <f t="shared" si="2"/>
        <v>High</v>
      </c>
      <c r="H6" s="23" t="s">
        <v>95</v>
      </c>
      <c r="I6" s="22" t="s">
        <v>96</v>
      </c>
      <c r="J6" s="22">
        <v>2.0</v>
      </c>
      <c r="K6" s="22">
        <v>3.0</v>
      </c>
      <c r="L6" s="21">
        <f t="shared" si="3"/>
        <v>6</v>
      </c>
      <c r="M6" s="21" t="str">
        <f t="shared" si="4"/>
        <v>Low</v>
      </c>
      <c r="N6" s="24">
        <v>46338.0</v>
      </c>
      <c r="O6" s="25" t="str">
        <f t="shared" si="5"/>
        <v>4-4</v>
      </c>
      <c r="P6" s="25" t="str">
        <f t="shared" si="6"/>
        <v>2-3</v>
      </c>
      <c r="Q6" s="25">
        <f t="shared" si="7"/>
        <v>16.0994</v>
      </c>
    </row>
    <row r="7" ht="60.0" customHeight="1">
      <c r="A7" s="21" t="s">
        <v>97</v>
      </c>
      <c r="B7" s="22" t="s">
        <v>93</v>
      </c>
      <c r="C7" s="23" t="s">
        <v>98</v>
      </c>
      <c r="D7" s="22">
        <v>2.0</v>
      </c>
      <c r="E7" s="22">
        <v>4.0</v>
      </c>
      <c r="F7" s="21">
        <f t="shared" si="1"/>
        <v>8</v>
      </c>
      <c r="G7" s="21" t="str">
        <f t="shared" si="2"/>
        <v>Medium</v>
      </c>
      <c r="H7" s="23" t="s">
        <v>99</v>
      </c>
      <c r="I7" s="22" t="s">
        <v>96</v>
      </c>
      <c r="J7" s="22">
        <v>1.0</v>
      </c>
      <c r="K7" s="22">
        <v>4.0</v>
      </c>
      <c r="L7" s="21">
        <f t="shared" si="3"/>
        <v>4</v>
      </c>
      <c r="M7" s="21" t="str">
        <f t="shared" si="4"/>
        <v>Low</v>
      </c>
      <c r="N7" s="24">
        <v>46368.0</v>
      </c>
      <c r="O7" s="25" t="str">
        <f t="shared" si="5"/>
        <v>2-4</v>
      </c>
      <c r="P7" s="25" t="str">
        <f t="shared" si="6"/>
        <v>1-4</v>
      </c>
      <c r="Q7" s="25">
        <f t="shared" si="7"/>
        <v>8.0993</v>
      </c>
    </row>
    <row r="8">
      <c r="A8" s="21" t="s">
        <v>100</v>
      </c>
      <c r="B8" s="26" t="s">
        <v>101</v>
      </c>
      <c r="C8" s="27" t="s">
        <v>102</v>
      </c>
      <c r="D8" s="28">
        <v>3.0</v>
      </c>
      <c r="E8" s="26">
        <v>4.0</v>
      </c>
      <c r="F8" s="21">
        <f t="shared" si="1"/>
        <v>12</v>
      </c>
      <c r="G8" s="21" t="str">
        <f t="shared" si="2"/>
        <v>Medium</v>
      </c>
      <c r="H8" s="29" t="s">
        <v>103</v>
      </c>
      <c r="I8" s="26" t="s">
        <v>96</v>
      </c>
      <c r="J8" s="26">
        <v>2.0</v>
      </c>
      <c r="K8" s="26">
        <v>2.0</v>
      </c>
      <c r="L8" s="21">
        <f t="shared" si="3"/>
        <v>4</v>
      </c>
      <c r="M8" s="21" t="str">
        <f t="shared" si="4"/>
        <v>Low</v>
      </c>
      <c r="N8" s="30">
        <v>46368.0</v>
      </c>
      <c r="O8" s="25" t="str">
        <f t="shared" si="5"/>
        <v>3-4</v>
      </c>
      <c r="P8" s="25" t="str">
        <f t="shared" si="6"/>
        <v>2-2</v>
      </c>
      <c r="Q8" s="25">
        <f t="shared" si="7"/>
        <v>12.0992</v>
      </c>
    </row>
    <row r="9">
      <c r="A9" s="21" t="s">
        <v>104</v>
      </c>
      <c r="B9" s="26" t="s">
        <v>88</v>
      </c>
      <c r="C9" s="31" t="s">
        <v>105</v>
      </c>
      <c r="D9" s="31">
        <v>4.0</v>
      </c>
      <c r="E9" s="26">
        <v>4.0</v>
      </c>
      <c r="F9" s="21">
        <f t="shared" si="1"/>
        <v>16</v>
      </c>
      <c r="G9" s="21" t="str">
        <f t="shared" si="2"/>
        <v>High</v>
      </c>
      <c r="H9" s="32" t="s">
        <v>106</v>
      </c>
      <c r="I9" s="26" t="s">
        <v>96</v>
      </c>
      <c r="J9" s="26">
        <v>2.0</v>
      </c>
      <c r="K9" s="26">
        <v>3.0</v>
      </c>
      <c r="L9" s="21">
        <f t="shared" si="3"/>
        <v>6</v>
      </c>
      <c r="M9" s="21" t="str">
        <f t="shared" si="4"/>
        <v>Low</v>
      </c>
      <c r="N9" s="30">
        <v>46368.0</v>
      </c>
      <c r="O9" s="25" t="str">
        <f t="shared" si="5"/>
        <v>4-4</v>
      </c>
      <c r="P9" s="25" t="str">
        <f t="shared" si="6"/>
        <v>2-3</v>
      </c>
      <c r="Q9" s="25">
        <f t="shared" si="7"/>
        <v>16.0991</v>
      </c>
    </row>
    <row r="10">
      <c r="A10" s="21" t="s">
        <v>107</v>
      </c>
      <c r="B10" s="26" t="s">
        <v>88</v>
      </c>
      <c r="C10" s="31" t="s">
        <v>108</v>
      </c>
      <c r="D10" s="26">
        <v>2.0</v>
      </c>
      <c r="E10" s="26">
        <v>5.0</v>
      </c>
      <c r="F10" s="33">
        <v>10.0</v>
      </c>
      <c r="G10" s="21" t="str">
        <f t="shared" si="2"/>
        <v>Medium</v>
      </c>
      <c r="H10" s="34" t="s">
        <v>109</v>
      </c>
      <c r="I10" s="26" t="s">
        <v>110</v>
      </c>
      <c r="J10" s="26">
        <v>1.0</v>
      </c>
      <c r="K10" s="26">
        <v>4.0</v>
      </c>
      <c r="L10" s="21">
        <f t="shared" si="3"/>
        <v>4</v>
      </c>
      <c r="M10" s="21" t="str">
        <f t="shared" si="4"/>
        <v>Low</v>
      </c>
      <c r="N10" s="30">
        <v>46368.0</v>
      </c>
      <c r="O10" s="25" t="str">
        <f t="shared" si="5"/>
        <v>2-5</v>
      </c>
      <c r="P10" s="25" t="str">
        <f t="shared" si="6"/>
        <v>1-4</v>
      </c>
      <c r="Q10" s="25">
        <f t="shared" si="7"/>
        <v>10.099</v>
      </c>
    </row>
    <row r="11">
      <c r="A11" s="21" t="s">
        <v>111</v>
      </c>
      <c r="B11" s="26" t="s">
        <v>93</v>
      </c>
      <c r="C11" s="31" t="s">
        <v>112</v>
      </c>
      <c r="D11" s="26">
        <v>2.0</v>
      </c>
      <c r="E11" s="26">
        <v>3.0</v>
      </c>
      <c r="F11" s="21">
        <f t="shared" ref="F11:F19" si="8">IF(AND(D11&lt;&gt;"",E11&lt;&gt;""),D11*E11,"")</f>
        <v>6</v>
      </c>
      <c r="G11" s="33" t="s">
        <v>34</v>
      </c>
      <c r="H11" s="35" t="s">
        <v>113</v>
      </c>
      <c r="I11" s="26" t="s">
        <v>114</v>
      </c>
      <c r="J11" s="26">
        <v>2.0</v>
      </c>
      <c r="K11" s="26">
        <v>2.0</v>
      </c>
      <c r="L11" s="21">
        <f t="shared" si="3"/>
        <v>4</v>
      </c>
      <c r="M11" s="21" t="str">
        <f t="shared" si="4"/>
        <v>Low</v>
      </c>
      <c r="N11" s="30">
        <v>46368.0</v>
      </c>
      <c r="O11" s="25" t="str">
        <f t="shared" si="5"/>
        <v>2-3</v>
      </c>
      <c r="P11" s="25" t="str">
        <f t="shared" si="6"/>
        <v>2-2</v>
      </c>
      <c r="Q11" s="25">
        <f t="shared" si="7"/>
        <v>6.0989</v>
      </c>
    </row>
    <row r="12">
      <c r="A12" s="21" t="s">
        <v>115</v>
      </c>
      <c r="B12" s="26" t="s">
        <v>101</v>
      </c>
      <c r="C12" s="35" t="s">
        <v>116</v>
      </c>
      <c r="D12" s="26">
        <v>4.0</v>
      </c>
      <c r="E12" s="26">
        <v>4.0</v>
      </c>
      <c r="F12" s="21">
        <f t="shared" si="8"/>
        <v>16</v>
      </c>
      <c r="G12" s="21" t="str">
        <f t="shared" ref="G12:G19" si="9">IF(F12="","",IF(F12&gt;=15,"High",IF(F12&gt;=8,"Medium","Low")))</f>
        <v>High</v>
      </c>
      <c r="H12" s="35" t="s">
        <v>117</v>
      </c>
      <c r="I12" s="26" t="s">
        <v>96</v>
      </c>
      <c r="J12" s="26">
        <v>2.0</v>
      </c>
      <c r="K12" s="26">
        <v>3.0</v>
      </c>
      <c r="L12" s="21">
        <f t="shared" si="3"/>
        <v>6</v>
      </c>
      <c r="M12" s="21" t="str">
        <f t="shared" si="4"/>
        <v>Low</v>
      </c>
      <c r="N12" s="30">
        <v>46368.0</v>
      </c>
      <c r="O12" s="25" t="str">
        <f t="shared" si="5"/>
        <v>4-4</v>
      </c>
      <c r="P12" s="25" t="str">
        <f t="shared" si="6"/>
        <v>2-3</v>
      </c>
      <c r="Q12" s="25">
        <f t="shared" si="7"/>
        <v>16.0988</v>
      </c>
    </row>
    <row r="13">
      <c r="A13" s="21" t="s">
        <v>118</v>
      </c>
      <c r="B13" s="26" t="s">
        <v>101</v>
      </c>
      <c r="C13" s="35" t="s">
        <v>119</v>
      </c>
      <c r="D13" s="26">
        <v>3.0</v>
      </c>
      <c r="E13" s="26">
        <v>3.0</v>
      </c>
      <c r="F13" s="21">
        <f t="shared" si="8"/>
        <v>9</v>
      </c>
      <c r="G13" s="21" t="str">
        <f t="shared" si="9"/>
        <v>Medium</v>
      </c>
      <c r="H13" s="35" t="s">
        <v>120</v>
      </c>
      <c r="I13" s="26" t="s">
        <v>96</v>
      </c>
      <c r="J13" s="26">
        <v>1.0</v>
      </c>
      <c r="K13" s="26">
        <v>3.0</v>
      </c>
      <c r="L13" s="21">
        <f t="shared" si="3"/>
        <v>3</v>
      </c>
      <c r="M13" s="21" t="str">
        <f t="shared" si="4"/>
        <v>Low</v>
      </c>
      <c r="N13" s="30">
        <v>46368.0</v>
      </c>
      <c r="O13" s="25" t="str">
        <f t="shared" si="5"/>
        <v>3-3</v>
      </c>
      <c r="P13" s="25" t="str">
        <f t="shared" si="6"/>
        <v>1-3</v>
      </c>
      <c r="Q13" s="25">
        <f t="shared" si="7"/>
        <v>9.0987</v>
      </c>
    </row>
    <row r="14">
      <c r="A14" s="21" t="s">
        <v>121</v>
      </c>
      <c r="B14" s="26" t="s">
        <v>101</v>
      </c>
      <c r="C14" s="35" t="s">
        <v>122</v>
      </c>
      <c r="D14" s="26">
        <v>3.0</v>
      </c>
      <c r="E14" s="26">
        <v>3.0</v>
      </c>
      <c r="F14" s="21">
        <f t="shared" si="8"/>
        <v>9</v>
      </c>
      <c r="G14" s="21" t="str">
        <f t="shared" si="9"/>
        <v>Medium</v>
      </c>
      <c r="H14" s="35" t="s">
        <v>123</v>
      </c>
      <c r="I14" s="26" t="s">
        <v>110</v>
      </c>
      <c r="J14" s="26">
        <v>1.0</v>
      </c>
      <c r="K14" s="26">
        <v>2.0</v>
      </c>
      <c r="L14" s="21">
        <f t="shared" si="3"/>
        <v>2</v>
      </c>
      <c r="M14" s="21" t="str">
        <f t="shared" si="4"/>
        <v>Low</v>
      </c>
      <c r="N14" s="30">
        <v>46368.0</v>
      </c>
      <c r="O14" s="25" t="str">
        <f t="shared" si="5"/>
        <v>3-3</v>
      </c>
      <c r="P14" s="25" t="str">
        <f t="shared" si="6"/>
        <v>1-2</v>
      </c>
      <c r="Q14" s="25">
        <f t="shared" si="7"/>
        <v>9.0986</v>
      </c>
    </row>
    <row r="15">
      <c r="A15" s="21" t="s">
        <v>124</v>
      </c>
      <c r="B15" s="26" t="s">
        <v>93</v>
      </c>
      <c r="C15" s="35" t="s">
        <v>125</v>
      </c>
      <c r="D15" s="26">
        <v>2.0</v>
      </c>
      <c r="E15" s="26">
        <v>4.0</v>
      </c>
      <c r="F15" s="21">
        <f t="shared" si="8"/>
        <v>8</v>
      </c>
      <c r="G15" s="21" t="str">
        <f t="shared" si="9"/>
        <v>Medium</v>
      </c>
      <c r="H15" s="35" t="s">
        <v>126</v>
      </c>
      <c r="I15" s="26" t="s">
        <v>96</v>
      </c>
      <c r="J15" s="26">
        <v>2.0</v>
      </c>
      <c r="K15" s="26">
        <v>3.0</v>
      </c>
      <c r="L15" s="21">
        <f t="shared" si="3"/>
        <v>6</v>
      </c>
      <c r="M15" s="21" t="str">
        <f t="shared" si="4"/>
        <v>Low</v>
      </c>
      <c r="N15" s="30">
        <v>46368.0</v>
      </c>
      <c r="O15" s="25" t="str">
        <f t="shared" si="5"/>
        <v>2-4</v>
      </c>
      <c r="P15" s="25" t="str">
        <f t="shared" si="6"/>
        <v>2-3</v>
      </c>
      <c r="Q15" s="25">
        <f t="shared" si="7"/>
        <v>8.0985</v>
      </c>
    </row>
    <row r="16">
      <c r="A16" s="21" t="s">
        <v>127</v>
      </c>
      <c r="B16" s="26" t="s">
        <v>88</v>
      </c>
      <c r="C16" s="35" t="s">
        <v>128</v>
      </c>
      <c r="D16" s="26">
        <v>3.0</v>
      </c>
      <c r="E16" s="26">
        <v>2.0</v>
      </c>
      <c r="F16" s="21">
        <f t="shared" si="8"/>
        <v>6</v>
      </c>
      <c r="G16" s="21" t="str">
        <f t="shared" si="9"/>
        <v>Low</v>
      </c>
      <c r="H16" s="36" t="s">
        <v>129</v>
      </c>
      <c r="I16" s="26" t="s">
        <v>114</v>
      </c>
      <c r="J16" s="26">
        <v>2.0</v>
      </c>
      <c r="K16" s="26">
        <v>1.0</v>
      </c>
      <c r="L16" s="21">
        <f t="shared" si="3"/>
        <v>2</v>
      </c>
      <c r="M16" s="21" t="str">
        <f t="shared" si="4"/>
        <v>Low</v>
      </c>
      <c r="N16" s="30">
        <v>46368.0</v>
      </c>
      <c r="O16" s="25" t="str">
        <f t="shared" si="5"/>
        <v>3-2</v>
      </c>
      <c r="P16" s="25" t="str">
        <f t="shared" si="6"/>
        <v>2-1</v>
      </c>
      <c r="Q16" s="25">
        <f t="shared" si="7"/>
        <v>6.0984</v>
      </c>
    </row>
    <row r="17">
      <c r="A17" s="21" t="s">
        <v>130</v>
      </c>
      <c r="B17" s="22"/>
      <c r="C17" s="23"/>
      <c r="D17" s="22"/>
      <c r="E17" s="22"/>
      <c r="F17" s="21" t="str">
        <f t="shared" si="8"/>
        <v/>
      </c>
      <c r="G17" s="21" t="str">
        <f t="shared" si="9"/>
        <v/>
      </c>
      <c r="H17" s="23"/>
      <c r="I17" s="22"/>
      <c r="J17" s="22"/>
      <c r="K17" s="22"/>
      <c r="L17" s="21" t="str">
        <f t="shared" si="3"/>
        <v/>
      </c>
      <c r="M17" s="21" t="str">
        <f t="shared" si="4"/>
        <v/>
      </c>
      <c r="N17" s="24"/>
      <c r="O17" s="25" t="str">
        <f t="shared" si="5"/>
        <v/>
      </c>
      <c r="P17" s="25" t="str">
        <f t="shared" si="6"/>
        <v/>
      </c>
      <c r="Q17" s="25" t="str">
        <f t="shared" si="7"/>
        <v/>
      </c>
    </row>
    <row r="18">
      <c r="A18" s="21" t="s">
        <v>131</v>
      </c>
      <c r="B18" s="22"/>
      <c r="C18" s="23"/>
      <c r="D18" s="22"/>
      <c r="E18" s="22"/>
      <c r="F18" s="21" t="str">
        <f t="shared" si="8"/>
        <v/>
      </c>
      <c r="G18" s="21" t="str">
        <f t="shared" si="9"/>
        <v/>
      </c>
      <c r="H18" s="23"/>
      <c r="I18" s="22"/>
      <c r="J18" s="22"/>
      <c r="K18" s="22"/>
      <c r="L18" s="21" t="str">
        <f t="shared" si="3"/>
        <v/>
      </c>
      <c r="M18" s="21" t="str">
        <f t="shared" si="4"/>
        <v/>
      </c>
      <c r="N18" s="24"/>
      <c r="O18" s="25" t="str">
        <f t="shared" si="5"/>
        <v/>
      </c>
      <c r="P18" s="25" t="str">
        <f t="shared" si="6"/>
        <v/>
      </c>
      <c r="Q18" s="25" t="str">
        <f t="shared" si="7"/>
        <v/>
      </c>
    </row>
    <row r="19">
      <c r="A19" s="21" t="s">
        <v>132</v>
      </c>
      <c r="B19" s="22"/>
      <c r="C19" s="23"/>
      <c r="D19" s="22"/>
      <c r="E19" s="22"/>
      <c r="F19" s="21" t="str">
        <f t="shared" si="8"/>
        <v/>
      </c>
      <c r="G19" s="21" t="str">
        <f t="shared" si="9"/>
        <v/>
      </c>
      <c r="H19" s="23"/>
      <c r="I19" s="22"/>
      <c r="J19" s="22"/>
      <c r="K19" s="22"/>
      <c r="L19" s="21" t="str">
        <f t="shared" si="3"/>
        <v/>
      </c>
      <c r="M19" s="21" t="str">
        <f t="shared" si="4"/>
        <v/>
      </c>
      <c r="N19" s="24"/>
      <c r="O19" s="25" t="str">
        <f t="shared" si="5"/>
        <v/>
      </c>
      <c r="P19" s="25" t="str">
        <f t="shared" si="6"/>
        <v/>
      </c>
      <c r="Q19" s="25" t="str">
        <f t="shared" si="7"/>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F19">
    <cfRule type="expression" dxfId="0" priority="1">
      <formula>AND($F5&lt;&gt;"",$F5&gt;=15)</formula>
    </cfRule>
  </conditionalFormatting>
  <conditionalFormatting sqref="F5:F19">
    <cfRule type="expression" dxfId="1" priority="2">
      <formula>AND($F5&lt;&gt;"",$F5&gt;=8,$F5&lt;15)</formula>
    </cfRule>
  </conditionalFormatting>
  <conditionalFormatting sqref="F5:F19">
    <cfRule type="expression" dxfId="2" priority="3">
      <formula>AND($F5&lt;&gt;"",$F5&lt;8)</formula>
    </cfRule>
  </conditionalFormatting>
  <conditionalFormatting sqref="G5:G19">
    <cfRule type="expression" dxfId="0" priority="4">
      <formula>AND($F5&lt;&gt;"",$F5&gt;=15)</formula>
    </cfRule>
  </conditionalFormatting>
  <conditionalFormatting sqref="G5:G19">
    <cfRule type="expression" dxfId="1" priority="5">
      <formula>AND($F5&lt;&gt;"",$F5&gt;=8,$F5&lt;15)</formula>
    </cfRule>
  </conditionalFormatting>
  <conditionalFormatting sqref="G5:G19">
    <cfRule type="expression" dxfId="2" priority="6">
      <formula>AND($F5&lt;&gt;"",$F5&lt;8)</formula>
    </cfRule>
  </conditionalFormatting>
  <conditionalFormatting sqref="L5:L19">
    <cfRule type="expression" dxfId="0" priority="7">
      <formula>AND($L5&lt;&gt;"",$L5&gt;=15)</formula>
    </cfRule>
  </conditionalFormatting>
  <conditionalFormatting sqref="L5:L19">
    <cfRule type="expression" dxfId="1" priority="8">
      <formula>AND($L5&lt;&gt;"",$L5&gt;=8,$L5&lt;15)</formula>
    </cfRule>
  </conditionalFormatting>
  <conditionalFormatting sqref="L5:L19">
    <cfRule type="expression" dxfId="2" priority="9">
      <formula>AND($L5&lt;&gt;"",$L5&lt;8)</formula>
    </cfRule>
  </conditionalFormatting>
  <conditionalFormatting sqref="M5:M19">
    <cfRule type="expression" dxfId="0" priority="10">
      <formula>AND($L5&lt;&gt;"",$L5&gt;=15)</formula>
    </cfRule>
  </conditionalFormatting>
  <conditionalFormatting sqref="M5:M19">
    <cfRule type="expression" dxfId="1" priority="11">
      <formula>AND($L5&lt;&gt;"",$L5&gt;=8,$L5&lt;15)</formula>
    </cfRule>
  </conditionalFormatting>
  <conditionalFormatting sqref="M5:M19">
    <cfRule type="expression" dxfId="2" priority="12">
      <formula>AND($L5&lt;&gt;"",$L5&lt;8)</formula>
    </cfRule>
  </conditionalFormatting>
  <dataValidations>
    <dataValidation type="list" allowBlank="1" sqref="B5:B19">
      <formula1>"Security,Vendor,Business"</formula1>
    </dataValidation>
    <dataValidation type="decimal" allowBlank="1" showInputMessage="1" showErrorMessage="1" prompt="1 to 5 only - Enter a whole number from 1 to 5." sqref="D5:E19 J5:K19">
      <formula1>1.0</formula1>
      <formula2>5.0</formula2>
    </dataValidation>
    <dataValidation type="date" operator="greaterThan" allowBlank="1" showInputMessage="1" showErrorMessage="1" prompt="Enter a date, e.g. 2026-11-15." sqref="N5:N19">
      <formula1>36526.0</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9.0"/>
    <col customWidth="1" min="3" max="3" width="50.0"/>
    <col customWidth="1" min="4" max="4" width="8.0"/>
    <col customWidth="1" min="5" max="5" width="10.0"/>
    <col customWidth="1" min="6" max="6" width="20.0"/>
    <col customWidth="1" min="7" max="7" width="10.0"/>
    <col customWidth="1" min="8" max="8" width="13.0"/>
    <col customWidth="1" min="9" max="26" width="8.71"/>
  </cols>
  <sheetData>
    <row r="1">
      <c r="A1" s="1" t="s">
        <v>133</v>
      </c>
    </row>
    <row r="2">
      <c r="A2" s="2" t="s">
        <v>134</v>
      </c>
    </row>
    <row r="4">
      <c r="A4" s="20" t="s">
        <v>135</v>
      </c>
      <c r="B4" s="20" t="s">
        <v>70</v>
      </c>
      <c r="C4" s="20" t="s">
        <v>72</v>
      </c>
      <c r="D4" s="20" t="s">
        <v>136</v>
      </c>
      <c r="E4" s="20" t="s">
        <v>76</v>
      </c>
      <c r="F4" s="20" t="s">
        <v>78</v>
      </c>
      <c r="G4" s="20" t="s">
        <v>137</v>
      </c>
      <c r="H4" s="20" t="s">
        <v>83</v>
      </c>
    </row>
    <row r="5" ht="33.75" customHeight="1">
      <c r="A5" s="21">
        <v>1.0</v>
      </c>
      <c r="B5" s="21" t="str">
        <f t="array" ref="B5">IFERROR(INDEX('Risk Register'!$A$5:$A$19,MATCH(LARGE('Risk Register'!$Q$5:$Q$19,1),'Risk Register'!$Q$5:$Q$19,0)),"")</f>
        <v>R-01</v>
      </c>
      <c r="C5" s="37" t="str">
        <f t="array" ref="C5">IFERROR(INDEX('Risk Register'!$C$5:$C$19,MATCH(LARGE('Risk Register'!$Q$5:$Q$19,1),'Risk Register'!$Q$5:$Q$19,0))&amp;"","")</f>
        <v>AWS root or admin credentials compromised (no MFA, leaked access keys), giving an attacker full control of the account.</v>
      </c>
      <c r="D5" s="21">
        <f t="array" ref="D5">IFERROR(INDEX('Risk Register'!$F$5:$F$19,MATCH(LARGE('Risk Register'!$Q$5:$Q$19,1),'Risk Register'!$Q$5:$Q$19,0)),"")</f>
        <v>20</v>
      </c>
      <c r="E5" s="21" t="str">
        <f t="array" ref="E5">IFERROR(INDEX('Risk Register'!$G$5:$G$19,MATCH(LARGE('Risk Register'!$Q$5:$Q$19,1),'Risk Register'!$Q$5:$Q$19,0)),"")</f>
        <v>High</v>
      </c>
      <c r="F5" s="21" t="str">
        <f t="array" ref="F5">IFERROR(INDEX('Risk Register'!$I$5:$I$19,MATCH(LARGE('Risk Register'!$Q$5:$Q$19,1),'Risk Register'!$Q$5:$Q$19,0))&amp;"","")</f>
        <v>Account Admin (ISSM)</v>
      </c>
      <c r="G5" s="21">
        <f t="array" ref="G5">IFERROR(INDEX('Risk Register'!$L$5:$L$19,MATCH(LARGE('Risk Register'!$Q$5:$Q$19,1),'Risk Register'!$Q$5:$Q$19,0)),"")</f>
        <v>10</v>
      </c>
      <c r="H5" s="38">
        <f t="array" ref="H5">IFERROR(INDEX('Risk Register'!$N$5:$N$19,MATCH(LARGE('Risk Register'!$Q$5:$Q$19,1),'Risk Register'!$Q$5:$Q$19,0)),"")</f>
        <v>46341</v>
      </c>
    </row>
    <row r="6" ht="33.75" customHeight="1">
      <c r="A6" s="21">
        <v>2.0</v>
      </c>
      <c r="B6" s="21" t="str">
        <f t="array" ref="B6">IFERROR(INDEX('Risk Register'!$A$5:$A$19,MATCH(LARGE('Risk Register'!$Q$5:$Q$19,2),'Risk Register'!$Q$5:$Q$19,0)),"")</f>
        <v>R-02</v>
      </c>
      <c r="C6" s="37" t="str">
        <f t="array" ref="C6">IFERROR(INDEX('Risk Register'!$C$5:$C$19,MATCH(LARGE('Risk Register'!$Q$5:$Q$19,2),'Risk Register'!$Q$5:$Q$19,0))&amp;"","")</f>
        <v>Stripe payment links are leaked or misused (card testing, fake links sent to clients), causing chargebacks, fees, and possible Stripe account suspension.</v>
      </c>
      <c r="D6" s="21">
        <f t="array" ref="D6">IFERROR(INDEX('Risk Register'!$F$5:$F$19,MATCH(LARGE('Risk Register'!$Q$5:$Q$19,2),'Risk Register'!$Q$5:$Q$19,0)),"")</f>
        <v>16</v>
      </c>
      <c r="E6" s="21" t="str">
        <f t="array" ref="E6">IFERROR(INDEX('Risk Register'!$G$5:$G$19,MATCH(LARGE('Risk Register'!$Q$5:$Q$19,2),'Risk Register'!$Q$5:$Q$19,0)),"")</f>
        <v>High</v>
      </c>
      <c r="F6" s="21" t="str">
        <f t="array" ref="F6">IFERROR(INDEX('Risk Register'!$I$5:$I$19,MATCH(LARGE('Risk Register'!$Q$5:$Q$19,2),'Risk Register'!$Q$5:$Q$19,0))&amp;"","")</f>
        <v>Business Owner</v>
      </c>
      <c r="G6" s="21">
        <f t="array" ref="G6">IFERROR(INDEX('Risk Register'!$L$5:$L$19,MATCH(LARGE('Risk Register'!$Q$5:$Q$19,2),'Risk Register'!$Q$5:$Q$19,0)),"")</f>
        <v>6</v>
      </c>
      <c r="H6" s="38">
        <f t="array" ref="H6">IFERROR(INDEX('Risk Register'!$N$5:$N$19,MATCH(LARGE('Risk Register'!$Q$5:$Q$19,2),'Risk Register'!$Q$5:$Q$19,0)),"")</f>
        <v>46338</v>
      </c>
    </row>
    <row r="7" ht="33.75" customHeight="1">
      <c r="A7" s="21">
        <v>3.0</v>
      </c>
      <c r="B7" s="21" t="str">
        <f t="array" ref="B7">IFERROR(INDEX('Risk Register'!$A$5:$A$19,MATCH(LARGE('Risk Register'!$Q$5:$Q$19,3),'Risk Register'!$Q$5:$Q$19,0)),"")</f>
        <v>R-05</v>
      </c>
      <c r="C7" s="37" t="str">
        <f t="array" ref="C7">IFERROR(INDEX('Risk Register'!$C$5:$C$19,MATCH(LARGE('Risk Register'!$Q$5:$Q$19,3),'Risk Register'!$Q$5:$Q$19,0))&amp;"","")</f>
        <v>A phishing email tricks a team member into giving up their email or AWS login</v>
      </c>
      <c r="D7" s="21">
        <f t="array" ref="D7">IFERROR(INDEX('Risk Register'!$F$5:$F$19,MATCH(LARGE('Risk Register'!$Q$5:$Q$19,3),'Risk Register'!$Q$5:$Q$19,0)),"")</f>
        <v>16</v>
      </c>
      <c r="E7" s="21" t="str">
        <f t="array" ref="E7">IFERROR(INDEX('Risk Register'!$G$5:$G$19,MATCH(LARGE('Risk Register'!$Q$5:$Q$19,3),'Risk Register'!$Q$5:$Q$19,0)),"")</f>
        <v>High</v>
      </c>
      <c r="F7" s="21" t="str">
        <f t="array" ref="F7">IFERROR(INDEX('Risk Register'!$I$5:$I$19,MATCH(LARGE('Risk Register'!$Q$5:$Q$19,3),'Risk Register'!$Q$5:$Q$19,0))&amp;"","")</f>
        <v>Business Owner</v>
      </c>
      <c r="G7" s="21">
        <f t="array" ref="G7">IFERROR(INDEX('Risk Register'!$L$5:$L$19,MATCH(LARGE('Risk Register'!$Q$5:$Q$19,3),'Risk Register'!$Q$5:$Q$19,0)),"")</f>
        <v>6</v>
      </c>
      <c r="H7" s="38">
        <f t="array" ref="H7">IFERROR(INDEX('Risk Register'!$N$5:$N$19,MATCH(LARGE('Risk Register'!$Q$5:$Q$19,3),'Risk Register'!$Q$5:$Q$19,0)),"")</f>
        <v>46368</v>
      </c>
    </row>
    <row r="8" ht="33.75" customHeight="1">
      <c r="A8" s="21">
        <v>4.0</v>
      </c>
      <c r="B8" s="21" t="str">
        <f t="array" ref="B8">IFERROR(INDEX('Risk Register'!$A$5:$A$19,MATCH(LARGE('Risk Register'!$Q$5:$Q$19,4),'Risk Register'!$Q$5:$Q$19,0)),"")</f>
        <v>R-08</v>
      </c>
      <c r="C8" s="37" t="str">
        <f t="array" ref="C8">IFERROR(INDEX('Risk Register'!$C$5:$C$19,MATCH(LARGE('Risk Register'!$Q$5:$Q$19,4),'Risk Register'!$Q$5:$Q$19,0))&amp;"","")</f>
        <v>Only one person knows how the platform works or holds admin access.</v>
      </c>
      <c r="D8" s="21">
        <f t="array" ref="D8">IFERROR(INDEX('Risk Register'!$F$5:$F$19,MATCH(LARGE('Risk Register'!$Q$5:$Q$19,4),'Risk Register'!$Q$5:$Q$19,0)),"")</f>
        <v>16</v>
      </c>
      <c r="E8" s="21" t="str">
        <f t="array" ref="E8">IFERROR(INDEX('Risk Register'!$G$5:$G$19,MATCH(LARGE('Risk Register'!$Q$5:$Q$19,4),'Risk Register'!$Q$5:$Q$19,0)),"")</f>
        <v>High</v>
      </c>
      <c r="F8" s="21" t="str">
        <f t="array" ref="F8">IFERROR(INDEX('Risk Register'!$I$5:$I$19,MATCH(LARGE('Risk Register'!$Q$5:$Q$19,4),'Risk Register'!$Q$5:$Q$19,0))&amp;"","")</f>
        <v>Business Owner</v>
      </c>
      <c r="G8" s="21">
        <f t="array" ref="G8">IFERROR(INDEX('Risk Register'!$L$5:$L$19,MATCH(LARGE('Risk Register'!$Q$5:$Q$19,4),'Risk Register'!$Q$5:$Q$19,0)),"")</f>
        <v>6</v>
      </c>
      <c r="H8" s="38">
        <f t="array" ref="H8">IFERROR(INDEX('Risk Register'!$N$5:$N$19,MATCH(LARGE('Risk Register'!$Q$5:$Q$19,4),'Risk Register'!$Q$5:$Q$19,0)),"")</f>
        <v>46368</v>
      </c>
    </row>
    <row r="9" ht="33.75" customHeight="1">
      <c r="A9" s="21">
        <v>5.0</v>
      </c>
      <c r="B9" s="21" t="str">
        <f t="array" ref="B9">IFERROR(INDEX('Risk Register'!$A$5:$A$19,MATCH(LARGE('Risk Register'!$Q$5:$Q$19,5),'Risk Register'!$Q$5:$Q$19,0)),"")</f>
        <v>R-04</v>
      </c>
      <c r="C9" s="37" t="str">
        <f t="array" ref="C9">IFERROR(INDEX('Risk Register'!$C$5:$C$19,MATCH(LARGE('Risk Register'!$Q$5:$Q$19,5),'Risk Register'!$Q$5:$Q$19,0))&amp;"","")</f>
        <v>Client photos and videos are lost (accidental deletion, ransomware, drive or account failure) with no working backup, so finished or in-progress client work can't be recovered.</v>
      </c>
      <c r="D9" s="21">
        <f t="array" ref="D9">IFERROR(INDEX('Risk Register'!$F$5:$F$19,MATCH(LARGE('Risk Register'!$Q$5:$Q$19,5),'Risk Register'!$Q$5:$Q$19,0)),"")</f>
        <v>12</v>
      </c>
      <c r="E9" s="21" t="str">
        <f t="array" ref="E9">IFERROR(INDEX('Risk Register'!$G$5:$G$19,MATCH(LARGE('Risk Register'!$Q$5:$Q$19,5),'Risk Register'!$Q$5:$Q$19,0)),"")</f>
        <v>Medium</v>
      </c>
      <c r="F9" s="21" t="str">
        <f t="array" ref="F9">IFERROR(INDEX('Risk Register'!$I$5:$I$19,MATCH(LARGE('Risk Register'!$Q$5:$Q$19,5),'Risk Register'!$Q$5:$Q$19,0))&amp;"","")</f>
        <v>Business Owner</v>
      </c>
      <c r="G9" s="21">
        <f t="array" ref="G9">IFERROR(INDEX('Risk Register'!$L$5:$L$19,MATCH(LARGE('Risk Register'!$Q$5:$Q$19,5),'Risk Register'!$Q$5:$Q$19,0)),"")</f>
        <v>4</v>
      </c>
      <c r="H9" s="38">
        <f t="array" ref="H9">IFERROR(INDEX('Risk Register'!$N$5:$N$19,MATCH(LARGE('Risk Register'!$Q$5:$Q$19,5),'Risk Register'!$Q$5:$Q$19,0)),"")</f>
        <v>46368</v>
      </c>
    </row>
    <row r="12">
      <c r="A12" s="3" t="s">
        <v>138</v>
      </c>
    </row>
    <row r="13" ht="30.0" customHeight="1">
      <c r="A13" s="39" t="s">
        <v>139</v>
      </c>
    </row>
    <row r="14">
      <c r="A14" s="40" t="s">
        <v>140</v>
      </c>
      <c r="B14" s="41"/>
      <c r="C14" s="41"/>
      <c r="D14" s="41"/>
      <c r="E14" s="41"/>
      <c r="F14" s="41"/>
      <c r="G14" s="41"/>
      <c r="H14" s="42"/>
    </row>
    <row r="15">
      <c r="A15" s="43"/>
      <c r="H15" s="44"/>
    </row>
    <row r="16">
      <c r="A16" s="43"/>
      <c r="H16" s="44"/>
    </row>
    <row r="17">
      <c r="A17" s="43"/>
      <c r="H17" s="44"/>
    </row>
    <row r="18">
      <c r="A18" s="43"/>
      <c r="H18" s="44"/>
    </row>
    <row r="19">
      <c r="A19" s="43"/>
      <c r="H19" s="44"/>
    </row>
    <row r="20">
      <c r="A20" s="43"/>
      <c r="H20" s="44"/>
    </row>
    <row r="21" ht="15.75" customHeight="1">
      <c r="A21" s="43"/>
      <c r="H21" s="44"/>
    </row>
    <row r="22" ht="15.75" customHeight="1">
      <c r="A22" s="43"/>
      <c r="H22" s="44"/>
    </row>
    <row r="23" ht="15.75" customHeight="1">
      <c r="A23" s="43"/>
      <c r="H23" s="44"/>
    </row>
    <row r="24" ht="15.75" customHeight="1">
      <c r="A24" s="43"/>
      <c r="H24" s="44"/>
    </row>
    <row r="25" ht="15.75" customHeight="1">
      <c r="A25" s="43"/>
      <c r="H25" s="44"/>
    </row>
    <row r="26" ht="15.75" customHeight="1">
      <c r="A26" s="43"/>
      <c r="H26" s="44"/>
    </row>
    <row r="27" ht="15.75" customHeight="1">
      <c r="A27" s="43"/>
      <c r="H27" s="44"/>
    </row>
    <row r="28" ht="15.75" customHeight="1">
      <c r="A28" s="43"/>
      <c r="H28" s="44"/>
    </row>
    <row r="29" ht="15.75" customHeight="1">
      <c r="A29" s="43"/>
      <c r="H29" s="44"/>
    </row>
    <row r="30" ht="15.75" customHeight="1">
      <c r="A30" s="45"/>
      <c r="B30" s="46"/>
      <c r="C30" s="46"/>
      <c r="D30" s="46"/>
      <c r="E30" s="46"/>
      <c r="F30" s="46"/>
      <c r="G30" s="46"/>
      <c r="H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3:H13"/>
    <mergeCell ref="A14:H30"/>
  </mergeCells>
  <printOptions/>
  <pageMargins bottom="1.0" footer="0.0" header="0.0" left="0.75" right="0.75" top="1.0"/>
  <pageSetup paperSize="9" orientation="portrait"/>
  <drawing r:id="rId1"/>
</worksheet>
</file>